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2.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3.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4.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5.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tables/table3.xml" ContentType="application/vnd.openxmlformats-officedocument.spreadsheetml.table+xml"/>
  <Override PartName="/xl/drawings/drawing6.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7.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7ABC4390-E7B5-47A4-8238-47113860F700}" xr6:coauthVersionLast="47" xr6:coauthVersionMax="47" xr10:uidLastSave="{00000000-0000-0000-0000-000000000000}"/>
  <bookViews>
    <workbookView xWindow="-110" yWindow="-110" windowWidth="19420" windowHeight="10300" tabRatio="804" firstSheet="1" activeTab="9" xr2:uid="{CDD5353F-34BD-4D61-869B-0EA61F252957}"/>
  </bookViews>
  <sheets>
    <sheet name="Revenue Assumptions" sheetId="1" r:id="rId1"/>
    <sheet name="Cost Assumptions" sheetId="2" r:id="rId2"/>
    <sheet name="Workings" sheetId="3" r:id="rId3"/>
    <sheet name="Cost" sheetId="8" r:id="rId4"/>
    <sheet name="Revenue" sheetId="5" r:id="rId5"/>
    <sheet name="Breakeven_ROI" sheetId="6" r:id="rId6"/>
    <sheet name="Summary" sheetId="7" r:id="rId7"/>
    <sheet name="Dataset" sheetId="11" r:id="rId8"/>
    <sheet name="Pivot" sheetId="12" r:id="rId9"/>
    <sheet name="Dashboard" sheetId="9" r:id="rId10"/>
  </sheets>
  <definedNames>
    <definedName name="_xlnm._FilterDatabase" localSheetId="1" hidden="1">'Cost Assumptions'!$A$1:$C$1</definedName>
    <definedName name="_xlnm._FilterDatabase" localSheetId="0" hidden="1">'Revenue Assumptions'!$A$1:$G$1</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8" l="1"/>
  <c r="E13" i="11"/>
  <c r="D13" i="11"/>
  <c r="F15" i="11"/>
  <c r="F10" i="11"/>
  <c r="F22" i="3" a="1"/>
  <c r="F22" i="3" s="1"/>
  <c r="G10" i="11" s="1"/>
  <c r="F23" i="3" a="1"/>
  <c r="F23" i="3" s="1"/>
  <c r="G11" i="11" s="1"/>
  <c r="F17" i="11"/>
  <c r="F18" i="11"/>
  <c r="F19" i="11"/>
  <c r="F16" i="11"/>
  <c r="F11" i="11"/>
  <c r="F12" i="11"/>
  <c r="F13" i="11"/>
  <c r="F14" i="11"/>
  <c r="D10" i="11"/>
  <c r="D11" i="11"/>
  <c r="D12" i="11"/>
  <c r="D9" i="11"/>
  <c r="C7" i="7"/>
  <c r="G26" i="3" a="1"/>
  <c r="G26" i="3" s="1"/>
  <c r="G19" i="11" s="1"/>
  <c r="G25" i="3" a="1"/>
  <c r="G25" i="3" s="1"/>
  <c r="G18" i="11" s="1"/>
  <c r="G24" i="3" a="1"/>
  <c r="G24" i="3" s="1"/>
  <c r="G17" i="11" s="1"/>
  <c r="G23" i="3" a="1"/>
  <c r="G23" i="3" s="1"/>
  <c r="G16" i="11" s="1"/>
  <c r="F26" i="3" a="1"/>
  <c r="F26" i="3" s="1"/>
  <c r="G14" i="11" s="1"/>
  <c r="F25" i="3" a="1"/>
  <c r="F25" i="3" s="1"/>
  <c r="G13" i="11" s="1"/>
  <c r="F24" i="3" a="1"/>
  <c r="F24" i="3" s="1"/>
  <c r="G12" i="11" s="1"/>
  <c r="F34" i="3" a="1"/>
  <c r="F34" i="3" s="1"/>
  <c r="F14" i="5" s="1" a="1"/>
  <c r="F14" i="5" s="1"/>
  <c r="F32" i="3" a="1"/>
  <c r="F32" i="3" s="1"/>
  <c r="F12" i="5" s="1" a="1"/>
  <c r="F12" i="5" s="1"/>
  <c r="E14" i="5" a="1"/>
  <c r="E14" i="5" s="1"/>
  <c r="E12" i="5" a="1"/>
  <c r="E12" i="5" s="1"/>
  <c r="E12" i="8"/>
  <c r="E14" i="8" a="1"/>
  <c r="E14" i="8" s="1"/>
  <c r="G22" i="3" l="1"/>
  <c r="F27" i="3"/>
  <c r="E16" i="8"/>
  <c r="E13" i="6" s="1"/>
  <c r="C8" i="7"/>
  <c r="E11" i="6"/>
  <c r="E16" i="5"/>
  <c r="C10" i="7" s="1"/>
  <c r="C9" i="7" l="1"/>
  <c r="G15" i="11"/>
  <c r="G27" i="3"/>
  <c r="E19" i="5"/>
  <c r="C11" i="7" s="1"/>
  <c r="E15" i="6"/>
  <c r="F36" i="3" l="1"/>
  <c r="F16" i="5"/>
  <c r="I7" i="11" s="1"/>
  <c r="G34" i="3"/>
  <c r="G14" i="5" s="1" a="1"/>
  <c r="G14" i="5" s="1"/>
  <c r="J50" i="1"/>
  <c r="G17" i="3"/>
  <c r="G12" i="8" s="1"/>
  <c r="E7" i="7" s="1"/>
  <c r="F13" i="3"/>
  <c r="E10" i="11" s="1"/>
  <c r="F14" i="3"/>
  <c r="E11" i="11" s="1"/>
  <c r="F15" i="3"/>
  <c r="E12" i="11" s="1"/>
  <c r="F16" i="3"/>
  <c r="F12" i="3"/>
  <c r="E9" i="11" s="1"/>
  <c r="F15" i="6" l="1"/>
  <c r="D10" i="7"/>
  <c r="G32" i="3"/>
  <c r="G12" i="5" s="1" a="1"/>
  <c r="G12" i="5" s="1"/>
  <c r="F17" i="3"/>
  <c r="F12" i="8" s="1"/>
  <c r="D7" i="7" s="1"/>
  <c r="F14" i="8" a="1"/>
  <c r="F14" i="8" s="1"/>
  <c r="D8" i="7" s="1"/>
  <c r="F39" i="3" l="1"/>
  <c r="G14" i="8" a="1"/>
  <c r="G14" i="8" s="1"/>
  <c r="E8" i="7" s="1"/>
  <c r="G36" i="3"/>
  <c r="G39" i="3" s="1"/>
  <c r="G16" i="5"/>
  <c r="I8" i="11" s="1"/>
  <c r="G15" i="6" l="1"/>
  <c r="E10" i="7"/>
  <c r="G16" i="8"/>
  <c r="H8" i="11" s="1"/>
  <c r="G11" i="6"/>
  <c r="F19" i="5"/>
  <c r="F11" i="6"/>
  <c r="G19" i="5"/>
  <c r="D21" i="5" s="1"/>
  <c r="F18" i="6" s="1"/>
  <c r="F16" i="8"/>
  <c r="H7" i="11" s="1"/>
  <c r="E11" i="7" l="1"/>
  <c r="J8" i="11"/>
  <c r="K8" i="11" s="1"/>
  <c r="D11" i="7"/>
  <c r="J7" i="11"/>
  <c r="K7" i="11" s="1"/>
  <c r="F13" i="6"/>
  <c r="D9" i="7"/>
  <c r="G13" i="6"/>
  <c r="G22" i="6" s="1"/>
  <c r="E9" i="7"/>
  <c r="F22" i="6" l="1"/>
  <c r="D12" i="7" s="1"/>
  <c r="E12" i="7"/>
  <c r="L8" i="11"/>
  <c r="D13" i="7"/>
  <c r="E13" i="7" s="1"/>
  <c r="M8" i="11"/>
  <c r="M7" i="11"/>
  <c r="L7" i="1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<sst xmlns="http://schemas.openxmlformats.org/spreadsheetml/2006/main" count="267" uniqueCount="91">
  <si>
    <t>Month</t>
  </si>
  <si>
    <t>Scenario</t>
  </si>
  <si>
    <t>Projected_Customers</t>
  </si>
  <si>
    <t>Avg_Basket_EUR</t>
  </si>
  <si>
    <t>Revenue_EUR</t>
  </si>
  <si>
    <t>Operating_Cost_EUR</t>
  </si>
  <si>
    <t>Net_Profit_EUR</t>
  </si>
  <si>
    <t>Optimistic</t>
  </si>
  <si>
    <t>Base</t>
  </si>
  <si>
    <t>Pessimistic</t>
  </si>
  <si>
    <t>Cost_Item</t>
  </si>
  <si>
    <t>Estimated_Cost_EUR</t>
  </si>
  <si>
    <t>Type</t>
  </si>
  <si>
    <t>Initial Setup</t>
  </si>
  <si>
    <t>CapEx</t>
  </si>
  <si>
    <t>Rent (monthly)</t>
  </si>
  <si>
    <t>OpEx</t>
  </si>
  <si>
    <t>Salaries (monthly)</t>
  </si>
  <si>
    <t>Logistics</t>
  </si>
  <si>
    <t>Marketing (monthly)</t>
  </si>
  <si>
    <t>Utilities (monthly)</t>
  </si>
  <si>
    <t>IT Infrastructure</t>
  </si>
  <si>
    <t>Legal &amp; Licensing</t>
  </si>
  <si>
    <t>Inventory (initial)</t>
  </si>
  <si>
    <t>Contingency Fund</t>
  </si>
  <si>
    <t>EuroGro Retail Group</t>
  </si>
  <si>
    <t>Workings</t>
  </si>
  <si>
    <t xml:space="preserve">Rent </t>
  </si>
  <si>
    <t xml:space="preserve">Salaries </t>
  </si>
  <si>
    <t xml:space="preserve">Marketing </t>
  </si>
  <si>
    <t xml:space="preserve">Utilities </t>
  </si>
  <si>
    <t>Number of months</t>
  </si>
  <si>
    <t>Years</t>
  </si>
  <si>
    <t>Weeks per month</t>
  </si>
  <si>
    <t>Days per week</t>
  </si>
  <si>
    <t>Capital Expenses</t>
  </si>
  <si>
    <t>Operating Expenses</t>
  </si>
  <si>
    <t>Total Capex</t>
  </si>
  <si>
    <t>Total Opex</t>
  </si>
  <si>
    <t>Projected Customer</t>
  </si>
  <si>
    <t xml:space="preserve">Average Basket </t>
  </si>
  <si>
    <t>Revenue &amp; Profit</t>
  </si>
  <si>
    <t>Number of Months</t>
  </si>
  <si>
    <t>Cost Modelling</t>
  </si>
  <si>
    <t>Total Cost</t>
  </si>
  <si>
    <t>Revenue</t>
  </si>
  <si>
    <t>Net Profit</t>
  </si>
  <si>
    <t>Cost Scenario:</t>
  </si>
  <si>
    <t>OPEX</t>
  </si>
  <si>
    <t>Total Revenue</t>
  </si>
  <si>
    <t>Customer Scenario:</t>
  </si>
  <si>
    <t>Customer Scenario</t>
  </si>
  <si>
    <t>Basket Scenario</t>
  </si>
  <si>
    <t>Basket Scenario:</t>
  </si>
  <si>
    <t>Breakeven</t>
  </si>
  <si>
    <t>Breakeven Time</t>
  </si>
  <si>
    <t>Total Revenue - Total Opex</t>
  </si>
  <si>
    <t>ROI</t>
  </si>
  <si>
    <t>ROI =</t>
  </si>
  <si>
    <t>Total Cost (Capex+Opex)</t>
  </si>
  <si>
    <t>Breakeven &amp; ROI</t>
  </si>
  <si>
    <t>Summary</t>
  </si>
  <si>
    <t>Return on Investment (ROI)</t>
  </si>
  <si>
    <t>Cost Scenario</t>
  </si>
  <si>
    <t>2025</t>
  </si>
  <si>
    <t>2026</t>
  </si>
  <si>
    <t>2027</t>
  </si>
  <si>
    <t>Parameters</t>
  </si>
  <si>
    <t>Dataset</t>
  </si>
  <si>
    <t>Year</t>
  </si>
  <si>
    <t>Sum of Total Revenue</t>
  </si>
  <si>
    <t>Sum of Net Profit</t>
  </si>
  <si>
    <t>Capex Items</t>
  </si>
  <si>
    <t>Capex</t>
  </si>
  <si>
    <t>Opex Items</t>
  </si>
  <si>
    <t>Opex</t>
  </si>
  <si>
    <t>Grand Total</t>
  </si>
  <si>
    <t>Sum of Opex</t>
  </si>
  <si>
    <t>Sum of Capex</t>
  </si>
  <si>
    <t>Avg. ROI</t>
  </si>
  <si>
    <t>Sum of Total Cost</t>
  </si>
  <si>
    <t>Profit Margin</t>
  </si>
  <si>
    <t>Net Profit Margin</t>
  </si>
  <si>
    <t>Inventory</t>
  </si>
  <si>
    <t>Op. Exp</t>
  </si>
  <si>
    <t>Profit</t>
  </si>
  <si>
    <t>Profit Margin %</t>
  </si>
  <si>
    <t>ROI %</t>
  </si>
  <si>
    <t>Breakeven Time =
(in Month)</t>
  </si>
  <si>
    <t>Monthly Net Profit</t>
  </si>
  <si>
    <t>Monthly opex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</si>
</sst>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0_);_(* \(#,##0.0\);_(* &quot;-&quot;??_);_(@_)"/>
    <numFmt numFmtId="165" formatCode="_(* #,##0_);_(* \(#,##0\);_(* &quot;-&quot;??_);_(@_)"/>
    <numFmt numFmtId="166" formatCode="_([$€-2]\ * #,##0_);_([$€-2]\ * \(#,##0\);_([$€-2]\ * &quot;-&quot;??_);_(@_)"/>
    <numFmt numFmtId="167" formatCode="#,##0.0_);[Red]\(#,##0.0\)"/>
    <numFmt numFmtId="168" formatCode="0\ &quot;Months&quot;"/>
  </numFmts>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family val="2"/>
    </font>
    <font>
      <b/>
      <sz val="10"/>
      <color theme="1"/>
      <name val="Aptos"/>
      <family val="2"/>
    </font>
    <font>
      <b/>
      <sz val="11"/>
      <color indexed="8"/>
      <name val="Aptos Narrow"/>
      <family val="2"/>
      <scheme val="minor"/>
    </font>
    <font>
      <b/>
      <i/>
      <sz val="8"/>
      <color theme="1"/>
      <name val="Aptos"/>
      <family val="2"/>
    </font>
    <font>
      <b/>
      <u/>
      <sz val="10"/>
      <color theme="0"/>
      <name val="Aptos"/>
      <family val="2"/>
    </font>
    <font>
      <b/>
      <u/>
      <sz val="11"/>
      <color theme="0"/>
      <name val="Aptos Narrow"/>
      <family val="2"/>
      <scheme val="minor"/>
    </font>
    <font>
      <sz val="10"/>
      <color theme="1"/>
      <name val="Aptos Narrow"/>
      <family val="2"/>
    </font>
    <font>
      <sz val="8"/>
      <name val="Aptos Narrow"/>
      <family val="2"/>
      <scheme val="minor"/>
    </font>
    <font>
      <sz val="11"/>
      <color rgb="FF0070C0"/>
      <name val="Aptos Narrow"/>
      <family val="2"/>
      <scheme val="minor"/>
    </font>
    <font>
      <b/>
      <u/>
      <sz val="10"/>
      <color rgb="FF0070C0"/>
      <name val="Aptos Narrow"/>
      <family val="2"/>
      <scheme val="minor"/>
    </font>
    <font>
      <b/>
      <sz val="10"/>
      <color rgb="FF002060"/>
      <name val="Aptos"/>
      <family val="2"/>
    </font>
    <font>
      <b/>
      <sz val="11"/>
      <color rgb="FF002060"/>
      <name val="Aptos"/>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002060"/>
        <bgColor indexed="64"/>
      </patternFill>
    </fill>
    <fill>
      <patternFill patternType="solid">
        <fgColor theme="0" tint="-4.9989318521683403E-2"/>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thin">
        <color indexed="64"/>
      </top>
      <bottom style="double">
        <color indexed="64"/>
      </bottom>
      <diagonal/>
    </border>
    <border>
      <left/>
      <right/>
      <top/>
      <bottom style="thin">
        <color indexed="64"/>
      </bottom>
      <diagonal/>
    </border>
    <border>
      <left style="dotted">
        <color indexed="64"/>
      </left>
      <right style="dotted">
        <color indexed="64"/>
      </right>
      <top style="dotted">
        <color indexed="64"/>
      </top>
      <bottom style="dotted">
        <color indexed="64"/>
      </bottom>
      <diagonal/>
    </border>
    <border>
      <left/>
      <right/>
      <top/>
      <bottom style="double">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medium">
        <color theme="3" tint="0.24994659260841701"/>
      </left>
      <right/>
      <top style="medium">
        <color theme="3" tint="0.24994659260841701"/>
      </top>
      <bottom/>
      <diagonal/>
    </border>
    <border>
      <left/>
      <right/>
      <top style="medium">
        <color theme="3" tint="0.24994659260841701"/>
      </top>
      <bottom/>
      <diagonal/>
    </border>
    <border>
      <left/>
      <right style="medium">
        <color theme="3" tint="0.24994659260841701"/>
      </right>
      <top style="medium">
        <color theme="3" tint="0.24994659260841701"/>
      </top>
      <bottom/>
      <diagonal/>
    </border>
    <border>
      <left style="medium">
        <color theme="3" tint="0.24994659260841701"/>
      </left>
      <right/>
      <top/>
      <bottom/>
      <diagonal/>
    </border>
    <border>
      <left/>
      <right style="medium">
        <color theme="3" tint="0.24994659260841701"/>
      </right>
      <top/>
      <bottom/>
      <diagonal/>
    </border>
    <border>
      <left style="medium">
        <color theme="3" tint="0.24994659260841701"/>
      </left>
      <right/>
      <top/>
      <bottom style="medium">
        <color theme="3" tint="0.24994659260841701"/>
      </bottom>
      <diagonal/>
    </border>
    <border>
      <left/>
      <right/>
      <top/>
      <bottom style="medium">
        <color theme="3" tint="0.24994659260841701"/>
      </bottom>
      <diagonal/>
    </border>
    <border>
      <left/>
      <right style="medium">
        <color theme="3" tint="0.24994659260841701"/>
      </right>
      <top/>
      <bottom style="medium">
        <color theme="3" tint="0.24994659260841701"/>
      </bottom>
      <diagonal/>
    </border>
    <border>
      <left style="medium">
        <color rgb="FF0070C0"/>
      </left>
      <right style="medium">
        <color rgb="FF0070C0"/>
      </right>
      <top style="medium">
        <color rgb="FF0070C0"/>
      </top>
      <bottom/>
      <diagonal/>
    </border>
    <border>
      <left style="medium">
        <color rgb="FF0070C0"/>
      </left>
      <right style="medium">
        <color rgb="FF0070C0"/>
      </right>
      <top/>
      <bottom/>
      <diagonal/>
    </border>
    <border>
      <left style="medium">
        <color rgb="FF0070C0"/>
      </left>
      <right style="medium">
        <color rgb="FF0070C0"/>
      </right>
      <top/>
      <bottom style="medium">
        <color rgb="FF0070C0"/>
      </bottom>
      <diagonal/>
    </border>
    <border>
      <left style="dotted">
        <color rgb="FF002060"/>
      </left>
      <right style="dotted">
        <color rgb="FF002060"/>
      </right>
      <top style="dotted">
        <color rgb="FF002060"/>
      </top>
      <bottom style="dotted">
        <color rgb="FF00206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81">
    <xf numFmtId="0" fontId="0" fillId="0" borderId="0" xfId="0"/>
    <xf numFmtId="17" fontId="0" fillId="0" borderId="0" xfId="0" applyNumberFormat="1"/>
    <xf numFmtId="164" fontId="0" fillId="0" borderId="0" xfId="42" applyNumberFormat="1" applyFont="1"/>
    <xf numFmtId="165" fontId="0" fillId="0" borderId="0" xfId="42" applyNumberFormat="1" applyFont="1"/>
    <xf numFmtId="0" fontId="18" fillId="0" borderId="0" xfId="0" applyFont="1"/>
    <xf numFmtId="0" fontId="21" fillId="0" borderId="0" xfId="0" applyFont="1"/>
    <xf numFmtId="0" fontId="19" fillId="0" borderId="0" xfId="0" applyFont="1"/>
    <xf numFmtId="0" fontId="19" fillId="0" borderId="10" xfId="0" applyFont="1" applyBorder="1"/>
    <xf numFmtId="0" fontId="20" fillId="0" borderId="10" xfId="0" applyFont="1" applyBorder="1"/>
    <xf numFmtId="0" fontId="18" fillId="33" borderId="0" xfId="0" applyFont="1" applyFill="1"/>
    <xf numFmtId="0" fontId="0" fillId="33" borderId="0" xfId="0" applyFill="1"/>
    <xf numFmtId="0" fontId="19" fillId="33" borderId="0" xfId="0" applyFont="1" applyFill="1"/>
    <xf numFmtId="0" fontId="24" fillId="33" borderId="0" xfId="0" applyFont="1" applyFill="1" applyAlignment="1">
      <alignment horizontal="center"/>
    </xf>
    <xf numFmtId="38" fontId="18" fillId="0" borderId="0" xfId="0" applyNumberFormat="1" applyFont="1"/>
    <xf numFmtId="0" fontId="24" fillId="0" borderId="0" xfId="0" applyFont="1" applyAlignment="1">
      <alignment horizontal="center"/>
    </xf>
    <xf numFmtId="38" fontId="19" fillId="0" borderId="11" xfId="0" applyNumberFormat="1" applyFont="1" applyBorder="1"/>
    <xf numFmtId="165" fontId="0" fillId="0" borderId="0" xfId="0" applyNumberFormat="1"/>
    <xf numFmtId="9" fontId="18" fillId="0" borderId="0" xfId="0" applyNumberFormat="1" applyFont="1"/>
    <xf numFmtId="9" fontId="18" fillId="0" borderId="0" xfId="43" applyFont="1"/>
    <xf numFmtId="9" fontId="0" fillId="0" borderId="0" xfId="0" applyNumberFormat="1"/>
    <xf numFmtId="9" fontId="0" fillId="0" borderId="0" xfId="43" applyFont="1"/>
    <xf numFmtId="0" fontId="16" fillId="0" borderId="0" xfId="0" applyFont="1"/>
    <xf numFmtId="165" fontId="16" fillId="0" borderId="10" xfId="42" applyNumberFormat="1" applyFont="1" applyBorder="1"/>
    <xf numFmtId="165" fontId="16" fillId="0" borderId="11" xfId="42" applyNumberFormat="1" applyFont="1" applyBorder="1"/>
    <xf numFmtId="43" fontId="0" fillId="0" borderId="0" xfId="0" applyNumberFormat="1"/>
    <xf numFmtId="0" fontId="0" fillId="0" borderId="0" xfId="0" applyAlignment="1">
      <alignment horizontal="center"/>
    </xf>
    <xf numFmtId="0" fontId="0" fillId="0" borderId="12" xfId="0" applyBorder="1" applyAlignment="1">
      <alignment horizontal="center"/>
    </xf>
    <xf numFmtId="9" fontId="16" fillId="0" borderId="0" xfId="43" applyFont="1"/>
    <xf numFmtId="166" fontId="0" fillId="0" borderId="0" xfId="42" applyNumberFormat="1" applyFont="1"/>
    <xf numFmtId="166" fontId="0" fillId="0" borderId="0" xfId="0" applyNumberFormat="1"/>
    <xf numFmtId="0" fontId="20" fillId="0" borderId="0" xfId="0" applyFont="1"/>
    <xf numFmtId="0" fontId="23" fillId="0" borderId="0" xfId="0" applyFont="1" applyAlignment="1">
      <alignment horizontal="centerContinuous" vertical="center"/>
    </xf>
    <xf numFmtId="0" fontId="0" fillId="0" borderId="0" xfId="0" applyAlignment="1">
      <alignment horizontal="left"/>
    </xf>
    <xf numFmtId="38" fontId="19" fillId="0" borderId="14" xfId="0" applyNumberFormat="1" applyFont="1" applyBorder="1"/>
    <xf numFmtId="38" fontId="18" fillId="0" borderId="13" xfId="0" applyNumberFormat="1" applyFont="1" applyBorder="1"/>
    <xf numFmtId="167" fontId="18" fillId="0" borderId="13" xfId="0" applyNumberFormat="1" applyFont="1" applyBorder="1"/>
    <xf numFmtId="165" fontId="0" fillId="0" borderId="15" xfId="42" applyNumberFormat="1" applyFont="1" applyBorder="1"/>
    <xf numFmtId="165" fontId="0" fillId="0" borderId="16" xfId="42" applyNumberFormat="1" applyFont="1" applyBorder="1"/>
    <xf numFmtId="165" fontId="0" fillId="0" borderId="17" xfId="42" applyNumberFormat="1" applyFont="1" applyBorder="1"/>
    <xf numFmtId="0" fontId="0" fillId="0" borderId="18" xfId="0" applyBorder="1"/>
    <xf numFmtId="0" fontId="0" fillId="0" borderId="13" xfId="0" applyBorder="1"/>
    <xf numFmtId="0" fontId="0" fillId="0" borderId="19" xfId="0" applyBorder="1"/>
    <xf numFmtId="165" fontId="0" fillId="0" borderId="20" xfId="42" applyNumberFormat="1" applyFont="1" applyBorder="1"/>
    <xf numFmtId="165" fontId="0" fillId="0" borderId="21" xfId="42" applyNumberFormat="1" applyFont="1" applyBorder="1"/>
    <xf numFmtId="165" fontId="0" fillId="0" borderId="22" xfId="42" applyNumberFormat="1" applyFont="1" applyBorder="1"/>
    <xf numFmtId="165" fontId="0" fillId="0" borderId="13" xfId="42" applyNumberFormat="1" applyFont="1" applyBorder="1"/>
    <xf numFmtId="9" fontId="0" fillId="0" borderId="13" xfId="43" applyFont="1" applyBorder="1"/>
    <xf numFmtId="165" fontId="16" fillId="0" borderId="0" xfId="42" applyNumberFormat="1" applyFont="1"/>
    <xf numFmtId="168" fontId="0" fillId="0" borderId="0" xfId="0" applyNumberFormat="1"/>
    <xf numFmtId="168" fontId="1" fillId="0" borderId="0" xfId="42" applyNumberFormat="1" applyFont="1"/>
    <xf numFmtId="0" fontId="20" fillId="0" borderId="0" xfId="0" applyFont="1" applyAlignment="1">
      <alignment horizontal="center"/>
    </xf>
    <xf numFmtId="0" fontId="16" fillId="0" borderId="0" xfId="0" applyFont="1" applyAlignment="1">
      <alignment horizontal="center" vertical="center" wrapText="1"/>
    </xf>
    <xf numFmtId="0" fontId="16" fillId="0" borderId="0" xfId="0" applyFont="1" applyAlignment="1">
      <alignment horizontal="center" vertical="center"/>
    </xf>
    <xf numFmtId="0" fontId="0" fillId="0" borderId="0" xfId="0" applyFont="1"/>
    <xf numFmtId="0" fontId="0" fillId="34" borderId="0" xfId="0" applyFill="1"/>
    <xf numFmtId="0" fontId="0" fillId="35" borderId="0" xfId="0" applyFill="1"/>
    <xf numFmtId="0" fontId="0" fillId="35" borderId="23" xfId="0" applyFill="1" applyBorder="1"/>
    <xf numFmtId="0" fontId="0" fillId="35" borderId="24" xfId="0" applyFill="1" applyBorder="1"/>
    <xf numFmtId="0" fontId="0" fillId="35" borderId="25" xfId="0" applyFill="1" applyBorder="1"/>
    <xf numFmtId="0" fontId="0" fillId="35" borderId="26" xfId="0" applyFill="1" applyBorder="1"/>
    <xf numFmtId="0" fontId="0" fillId="35" borderId="0" xfId="0" applyFill="1" applyBorder="1"/>
    <xf numFmtId="0" fontId="27" fillId="35" borderId="31" xfId="0" applyFont="1" applyFill="1" applyBorder="1"/>
    <xf numFmtId="0" fontId="26" fillId="35" borderId="0" xfId="0" applyFont="1" applyFill="1" applyBorder="1"/>
    <xf numFmtId="0" fontId="0" fillId="35" borderId="27" xfId="0" applyFill="1" applyBorder="1"/>
    <xf numFmtId="0" fontId="27" fillId="35" borderId="32" xfId="0" applyFont="1" applyFill="1" applyBorder="1"/>
    <xf numFmtId="0" fontId="27" fillId="35" borderId="33" xfId="0" applyFont="1" applyFill="1" applyBorder="1"/>
    <xf numFmtId="0" fontId="0" fillId="35" borderId="28" xfId="0" applyFill="1" applyBorder="1"/>
    <xf numFmtId="0" fontId="0" fillId="35" borderId="29" xfId="0" applyFill="1" applyBorder="1"/>
    <xf numFmtId="0" fontId="0" fillId="35" borderId="30" xfId="0" applyFill="1" applyBorder="1"/>
    <xf numFmtId="0" fontId="17" fillId="34" borderId="0" xfId="0" applyFont="1" applyFill="1"/>
    <xf numFmtId="0" fontId="23" fillId="34" borderId="0" xfId="0" applyFont="1" applyFill="1" applyAlignment="1">
      <alignment horizontal="centerContinuous" vertical="center"/>
    </xf>
    <xf numFmtId="0" fontId="13" fillId="34" borderId="10" xfId="0" applyFont="1" applyFill="1" applyBorder="1" applyAlignment="1">
      <alignment horizontal="center"/>
    </xf>
    <xf numFmtId="165" fontId="0" fillId="0" borderId="34" xfId="42" applyNumberFormat="1" applyFont="1" applyBorder="1"/>
    <xf numFmtId="0" fontId="0" fillId="0" borderId="34" xfId="0" applyBorder="1"/>
    <xf numFmtId="0" fontId="22" fillId="34" borderId="0" xfId="0" applyFont="1" applyFill="1" applyAlignment="1">
      <alignment horizontal="centerContinuous" vertical="center"/>
    </xf>
    <xf numFmtId="0" fontId="29" fillId="0" borderId="0" xfId="0" applyFont="1" applyAlignment="1">
      <alignment horizontal="center"/>
    </xf>
    <xf numFmtId="0" fontId="28" fillId="0" borderId="10" xfId="0" applyFont="1" applyBorder="1"/>
    <xf numFmtId="165" fontId="17" fillId="34" borderId="0" xfId="0" applyNumberFormat="1" applyFont="1" applyFill="1"/>
    <xf numFmtId="165" fontId="13" fillId="34" borderId="0" xfId="42" applyNumberFormat="1" applyFont="1" applyFill="1"/>
    <xf numFmtId="0" fontId="16" fillId="0" borderId="13" xfId="0" applyFont="1" applyBorder="1"/>
    <xf numFmtId="9" fontId="0" fillId="0" borderId="13" xfId="0" applyNumberFormat="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69">
    <dxf>
      <fill>
        <patternFill>
          <bgColor theme="9" tint="-0.24994659260841701"/>
        </patternFill>
      </fill>
    </dxf>
    <dxf>
      <font>
        <color theme="1"/>
      </font>
    </dxf>
    <dxf>
      <font>
        <color theme="0"/>
      </font>
      <fill>
        <patternFill>
          <bgColor rgb="FFFFFF00"/>
        </patternFill>
      </fill>
    </dxf>
    <dxf>
      <font>
        <color rgb="FFFFFF00"/>
      </font>
    </dxf>
    <dxf>
      <fill>
        <patternFill>
          <bgColor rgb="FFFF0000"/>
        </patternFill>
      </fill>
    </dxf>
    <dxf>
      <font>
        <color rgb="FFFFFF00"/>
      </font>
    </dxf>
    <dxf>
      <font>
        <color theme="0"/>
      </font>
      <fill>
        <patternFill>
          <bgColor rgb="FFFFFF00"/>
        </patternFill>
      </fill>
    </dxf>
    <dxf>
      <font>
        <color theme="1"/>
      </font>
    </dxf>
    <dxf>
      <fill>
        <patternFill>
          <bgColor theme="9" tint="-0.24994659260841701"/>
        </patternFill>
      </fill>
    </dxf>
    <dxf>
      <font>
        <color theme="1"/>
      </font>
    </dxf>
    <dxf>
      <font>
        <color theme="0"/>
      </font>
      <fill>
        <patternFill>
          <bgColor rgb="FFFFFF00"/>
        </patternFill>
      </fill>
    </dxf>
    <dxf>
      <font>
        <color rgb="FFFFFF00"/>
      </font>
    </dxf>
    <dxf>
      <font>
        <color theme="0"/>
      </font>
      <fill>
        <patternFill>
          <bgColor rgb="FFFFFF00"/>
        </patternFill>
      </fill>
    </dxf>
    <dxf>
      <font>
        <color rgb="FFFFFF00"/>
      </font>
    </dxf>
    <dxf>
      <font>
        <color rgb="FFFFFF00"/>
      </font>
    </dxf>
    <dxf>
      <font>
        <b/>
        <i val="0"/>
        <strike val="0"/>
        <condense val="0"/>
        <extend val="0"/>
        <outline val="0"/>
        <shadow val="0"/>
        <u val="none"/>
        <vertAlign val="baseline"/>
        <sz val="11"/>
        <color indexed="8"/>
        <name val="Aptos Narrow"/>
        <family val="2"/>
        <scheme val="minor"/>
      </font>
      <fill>
        <patternFill>
          <fgColor indexed="64"/>
          <bgColor rgb="FF002060"/>
        </patternFill>
      </fill>
    </dxf>
    <dxf>
      <font>
        <b/>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bottom" textRotation="0" wrapText="0" indent="0" justifyLastLine="0" shrinkToFit="0" readingOrder="0"/>
      <border diagonalUp="0" diagonalDown="0" outline="0">
        <left style="thin">
          <color theme="5"/>
        </left>
        <right style="thin">
          <color theme="5"/>
        </right>
        <top style="thin">
          <color theme="5"/>
        </top>
        <bottom style="medium">
          <color indexed="64"/>
        </bottom>
      </border>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dxf>
    <dxf>
      <font>
        <color theme="0"/>
      </font>
      <fill>
        <patternFill patternType="solid">
          <fgColor indexed="64"/>
          <bgColor rgb="FF002060"/>
        </patternFill>
      </fill>
      <alignment horizontal="general" vertical="bottom" textRotation="0" wrapText="0" indent="0" justifyLastLine="0" shrinkToFit="0" readingOrder="0"/>
    </dxf>
    <dxf>
      <font>
        <color theme="0"/>
      </font>
      <fill>
        <patternFill patternType="solid">
          <fgColor indexed="64"/>
          <bgColor rgb="FF002060"/>
        </patternFill>
      </fill>
      <alignment horizontal="general" vertical="bottom" textRotation="0" wrapText="0" indent="0" justifyLastLine="0" shrinkToFit="0" readingOrder="0"/>
    </dxf>
    <dxf>
      <font>
        <color theme="0"/>
      </font>
      <fill>
        <patternFill patternType="solid">
          <fgColor indexed="64"/>
          <bgColor rgb="FF002060"/>
        </patternFill>
      </fill>
    </dxf>
    <dxf>
      <font>
        <color theme="0"/>
      </font>
      <fill>
        <patternFill patternType="solid">
          <fgColor indexed="64"/>
          <bgColor rgb="FF002060"/>
        </patternFill>
      </fill>
    </dxf>
    <dxf>
      <font>
        <color theme="0"/>
      </font>
      <fill>
        <patternFill patternType="solid">
          <fgColor indexed="64"/>
          <bgColor rgb="FF002060"/>
        </patternFill>
      </fill>
    </dxf>
    <dxf>
      <font>
        <color theme="0"/>
      </font>
      <fill>
        <patternFill patternType="solid">
          <fgColor indexed="64"/>
          <bgColor rgb="FF002060"/>
        </patternFill>
      </fill>
      <alignment horizontal="general" vertical="bottom" textRotation="0" wrapText="0" indent="0" justifyLastLine="0" shrinkToFit="0" readingOrder="0"/>
    </dxf>
    <dxf>
      <font>
        <color theme="0"/>
      </font>
      <fill>
        <patternFill patternType="solid">
          <fgColor indexed="64"/>
          <bgColor rgb="FF002060"/>
        </patternFill>
      </fill>
      <alignment horizontal="general" vertical="bottom" textRotation="0" wrapText="0" indent="0" justifyLastLine="0" shrinkToFit="0" readingOrder="0"/>
    </dxf>
    <dxf>
      <font>
        <color theme="0"/>
      </font>
      <fill>
        <patternFill patternType="solid">
          <fgColor indexed="64"/>
          <bgColor rgb="FF002060"/>
        </patternFill>
      </fill>
    </dxf>
    <dxf>
      <font>
        <color theme="0"/>
      </font>
      <fill>
        <patternFill patternType="solid">
          <fgColor indexed="64"/>
          <bgColor rgb="FF002060"/>
        </patternFill>
      </fill>
    </dxf>
    <dxf>
      <font>
        <color theme="0"/>
      </font>
      <fill>
        <patternFill patternType="solid">
          <fgColor indexed="64"/>
          <bgColor rgb="FF002060"/>
        </patternFill>
      </fill>
      <alignment horizontal="general" vertical="bottom" textRotation="0" wrapText="0" indent="0" justifyLastLine="0" shrinkToFit="0" readingOrder="0"/>
    </dxf>
    <dxf>
      <font>
        <color theme="0"/>
      </font>
      <fill>
        <patternFill patternType="solid">
          <fgColor indexed="64"/>
          <bgColor rgb="FF002060"/>
        </patternFill>
      </fill>
      <alignment horizontal="general" vertical="bottom" textRotation="0" wrapText="0" indent="0" justifyLastLine="0" shrinkToFit="0" readingOrder="0"/>
    </dxf>
    <dxf>
      <font>
        <color theme="0"/>
      </font>
      <fill>
        <patternFill patternType="solid">
          <fgColor indexed="64"/>
          <bgColor rgb="FF002060"/>
        </patternFill>
      </fill>
      <alignment horizontal="general" vertical="bottom" textRotation="0" wrapText="0" indent="0" justifyLastLine="0" shrinkToFit="0" readingOrder="0"/>
    </dxf>
    <dxf>
      <font>
        <color theme="0"/>
      </font>
      <fill>
        <patternFill patternType="solid">
          <fgColor indexed="64"/>
          <bgColor rgb="FF002060"/>
        </patternFill>
      </fill>
      <alignment horizontal="general" vertical="bottom" textRotation="0" wrapText="0" indent="0" justifyLastLine="0" shrinkToFit="0" readingOrder="0"/>
    </dxf>
    <dxf>
      <font>
        <color theme="0"/>
      </font>
      <fill>
        <patternFill patternType="solid">
          <fgColor indexed="64"/>
          <bgColor rgb="FF002060"/>
        </patternFill>
      </fill>
    </dxf>
    <dxf>
      <font>
        <color theme="0"/>
      </font>
      <fill>
        <patternFill patternType="solid">
          <fgColor indexed="64"/>
          <bgColor rgb="FF002060"/>
        </patternFill>
      </fill>
    </dxf>
    <dxf>
      <font>
        <color theme="0"/>
      </font>
      <fill>
        <patternFill patternType="solid">
          <fgColor indexed="64"/>
          <bgColor rgb="FF002060"/>
        </patternFill>
      </fill>
    </dxf>
    <dxf>
      <font>
        <color theme="0"/>
      </font>
      <fill>
        <patternFill patternType="solid">
          <fgColor indexed="64"/>
          <bgColor rgb="FF002060"/>
        </patternFill>
      </fill>
    </dxf>
    <dxf>
      <font>
        <color theme="0"/>
      </font>
      <fill>
        <patternFill patternType="solid">
          <fgColor indexed="64"/>
          <bgColor rgb="FF002060"/>
        </patternFill>
      </fill>
    </dxf>
    <dxf>
      <font>
        <color theme="0"/>
      </font>
    </dxf>
    <dxf>
      <fill>
        <patternFill patternType="solid">
          <bgColor rgb="FF002060"/>
        </patternFill>
      </fill>
    </dxf>
    <dxf>
      <numFmt numFmtId="13" formatCode="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8" formatCode="0\ &quot;Months&quot;"/>
    </dxf>
    <dxf>
      <numFmt numFmtId="13" formatCode="0%"/>
    </dxf>
    <dxf>
      <numFmt numFmtId="13" formatCode="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font>
        <b val="0"/>
        <i val="0"/>
        <strike val="0"/>
        <condense val="0"/>
        <extend val="0"/>
        <outline val="0"/>
        <shadow val="0"/>
        <u val="none"/>
        <vertAlign val="baseline"/>
        <sz val="11"/>
        <color theme="1"/>
        <name val="Aptos Narrow"/>
        <family val="2"/>
        <scheme val="minor"/>
      </font>
      <numFmt numFmtId="166" formatCode="_([$€-2]\ * #,##0_);_([$€-2]\ * \(#,##0\);_([$€-2]\ * &quot;-&quot;??_);_(@_)"/>
    </dxf>
    <dxf>
      <font>
        <b val="0"/>
        <i val="0"/>
        <strike val="0"/>
        <condense val="0"/>
        <extend val="0"/>
        <outline val="0"/>
        <shadow val="0"/>
        <u val="none"/>
        <vertAlign val="baseline"/>
        <sz val="11"/>
        <color theme="1"/>
        <name val="Aptos Narrow"/>
        <family val="2"/>
        <scheme val="minor"/>
      </font>
      <numFmt numFmtId="166" formatCode="_([$€-2]\ * #,##0_);_([$€-2]\ * \(#,##0\);_([$€-2]\ * &quot;-&quot;??_);_(@_)"/>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4" formatCode="_(* #,##0.0_);_(* \(#,##0.0\);_(* &quot;-&quot;??_);_(@_)"/>
    </dxf>
    <dxf>
      <font>
        <b val="0"/>
        <i val="0"/>
        <strike val="0"/>
        <condense val="0"/>
        <extend val="0"/>
        <outline val="0"/>
        <shadow val="0"/>
        <u val="none"/>
        <vertAlign val="baseline"/>
        <sz val="11"/>
        <color theme="1"/>
        <name val="Aptos Narrow"/>
        <family val="2"/>
        <scheme val="minor"/>
      </font>
      <numFmt numFmtId="165" formatCode="_(* #,##0_);_(* \(#,##0\);_(* &quot;-&quot;??_);_(@_)"/>
    </dxf>
    <dxf>
      <numFmt numFmtId="22" formatCode="mmm\-yy"/>
    </dxf>
    <dxf>
      <font>
        <b val="0"/>
        <i val="0"/>
        <strike val="0"/>
        <condense val="0"/>
        <extend val="0"/>
        <outline val="0"/>
        <shadow val="0"/>
        <u val="none"/>
        <vertAlign val="baseline"/>
        <sz val="11"/>
        <color theme="1"/>
        <name val="Aptos Narrow"/>
        <family val="2"/>
        <scheme val="minor"/>
      </font>
    </dxf>
    <dxf>
      <font>
        <b/>
        <i val="0"/>
        <sz val="10"/>
        <color theme="5" tint="-0.499984740745262"/>
        <name val="Aptos"/>
        <family val="2"/>
        <scheme val="none"/>
      </font>
      <fill>
        <patternFill>
          <bgColor theme="5" tint="0.39994506668294322"/>
        </patternFill>
      </fill>
      <border diagonalUp="0" diagonalDown="0">
        <left/>
        <right/>
        <top/>
        <bottom/>
        <vertical/>
        <horizontal/>
      </border>
    </dxf>
  </dxfs>
  <tableStyles count="1" defaultTableStyle="TableStyleMedium2" defaultPivotStyle="PivotStyleLight16">
    <tableStyle name="Slicer Style 1" pivot="0" table="0" count="2" xr9:uid="{CF0B94DF-4FBC-40E0-9369-A0E136A7C07C}">
      <tableStyleElement type="wholeTable" dxfId="68"/>
    </tableStyle>
  </tableStyles>
  <colors>
    <mruColors>
      <color rgb="FFFFFFFF"/>
    </mruColors>
  </colors>
  <extLst>
    <ext xmlns:x14="http://schemas.microsoft.com/office/spreadsheetml/2009/9/main" uri="{46F421CA-312F-682f-3DD2-61675219B42D}">
      <x14:dxfs count="1">
        <dxf>
          <fill>
            <patternFill>
              <bgColor theme="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[EuroGro Retail Group Model new.xlsx]Pivot!Capex</c:name>
    <c:fmtId val="3"/>
  </c:pivotSource>
  <c:chart>
    <c:title>
      <c:tx>
        <c:rich>
          <a:bodyPr rot="0" spcFirstLastPara="1" vertOverflow="ellipsis" vert="horz" wrap="square" anchor="ctr" anchorCtr="1"/>
          <a:lstStyle/>
          <a:p>
            <a:pPr>
              <a:defRPr sz="1200" b="1" i="0" u="none" strike="noStrike" kern="1200" spc="0" baseline="0">
                <a:solidFill>
                  <a:srgbClr val="0070C0"/>
                </a:solidFill>
                <a:latin typeface="Aptos" panose="020B0004020202020204" pitchFamily="34" charset="0"/>
                <a:ea typeface="+mn-ea"/>
                <a:cs typeface="+mn-cs"/>
              </a:defRPr>
            </a:pPr>
            <a:r>
              <a:rPr lang="en-US" sz="1200" b="1">
                <a:solidFill>
                  <a:srgbClr val="0070C0"/>
                </a:solidFill>
              </a:rPr>
              <a:t>Capex Items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70C0"/>
              </a:solidFill>
              <a:latin typeface="Aptos" panose="020B0004020202020204" pitchFamily="34" charset="0"/>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Pivot!$A$8:$A$13</c:f>
              <c:strCache>
                <c:ptCount val="5"/>
                <c:pt idx="0">
                  <c:v>Contingency Fund</c:v>
                </c:pt>
                <c:pt idx="1">
                  <c:v>Legal &amp; Licensing</c:v>
                </c:pt>
                <c:pt idx="2">
                  <c:v>Logistics</c:v>
                </c:pt>
                <c:pt idx="3">
                  <c:v>IT Infrastructure</c:v>
                </c:pt>
                <c:pt idx="4">
                  <c:v>Initial Setup</c:v>
                </c:pt>
              </c:strCache>
            </c:strRef>
          </c:cat>
          <c:val>
            <c:numRef>
              <c:f>Pivot!$B$8:$B$13</c:f>
              <c:numCache>
                <c:formatCode>_(* #,##0_);_(* \(#,##0\);_(* "-"??_);_(@_)</c:formatCode>
                <c:ptCount val="5"/>
                <c:pt idx="0">
                  <c:v>10000</c:v>
                </c:pt>
                <c:pt idx="1">
                  <c:v>10000</c:v>
                </c:pt>
                <c:pt idx="2">
                  <c:v>15000</c:v>
                </c:pt>
                <c:pt idx="3">
                  <c:v>20000</c:v>
                </c:pt>
                <c:pt idx="4">
                  <c:v>250000</c:v>
                </c:pt>
              </c:numCache>
            </c:numRef>
          </c:val>
          <c:extLst>
            <c:ext xmlns:c16="http://schemas.microsoft.com/office/drawing/2014/chart" uri="{C3380CC4-5D6E-409C-BE32-E72D297353CC}">
              <c16:uniqueId val="{00000000-745E-4BA2-9FF8-0C7EA5A5B595}"/>
            </c:ext>
          </c:extLst>
        </c:ser>
        <c:dLbls>
          <c:dLblPos val="outEnd"/>
          <c:showLegendKey val="0"/>
          <c:showVal val="1"/>
          <c:showCatName val="0"/>
          <c:showSerName val="0"/>
          <c:showPercent val="0"/>
          <c:showBubbleSize val="0"/>
        </c:dLbls>
        <c:gapWidth val="182"/>
        <c:axId val="468688528"/>
        <c:axId val="476284624"/>
      </c:barChart>
      <c:catAx>
        <c:axId val="468688528"/>
        <c:scaling>
          <c:orientation val="minMax"/>
        </c:scaling>
        <c:delete val="0"/>
        <c:axPos val="l"/>
        <c:numFmt formatCode="General" sourceLinked="1"/>
        <c:majorTickMark val="none"/>
        <c:minorTickMark val="none"/>
        <c:tickLblPos val="nextTo"/>
        <c:spPr>
          <a:noFill/>
          <a:ln w="12700" cap="flat" cmpd="sng" algn="ctr">
            <a:solidFill>
              <a:schemeClr val="accent1"/>
            </a:solidFill>
            <a:round/>
          </a:ln>
          <a:effectLst/>
        </c:spPr>
        <c:txPr>
          <a:bodyPr rot="-60000000" spcFirstLastPara="1" vertOverflow="ellipsis" vert="horz" wrap="square" anchor="ctr" anchorCtr="1"/>
          <a:lstStyle/>
          <a:p>
            <a:pPr>
              <a:defRPr sz="1000" b="1" i="0" u="none" strike="noStrike" kern="1200" baseline="0">
                <a:solidFill>
                  <a:srgbClr val="0070C0"/>
                </a:solidFill>
                <a:latin typeface="Aptos" panose="020B0004020202020204" pitchFamily="34" charset="0"/>
                <a:ea typeface="+mn-ea"/>
                <a:cs typeface="+mn-cs"/>
              </a:defRPr>
            </a:pPr>
            <a:endParaRPr lang="en-US"/>
          </a:p>
        </c:txPr>
        <c:crossAx val="476284624"/>
        <c:crosses val="autoZero"/>
        <c:auto val="1"/>
        <c:lblAlgn val="ctr"/>
        <c:lblOffset val="100"/>
        <c:noMultiLvlLbl val="0"/>
      </c:catAx>
      <c:valAx>
        <c:axId val="476284624"/>
        <c:scaling>
          <c:orientation val="minMax"/>
        </c:scaling>
        <c:delete val="1"/>
        <c:axPos val="b"/>
        <c:numFmt formatCode="_(* #,##0_);_(* \(#,##0\);_(* &quot;-&quot;??_);_(@_)" sourceLinked="1"/>
        <c:majorTickMark val="none"/>
        <c:minorTickMark val="none"/>
        <c:tickLblPos val="nextTo"/>
        <c:crossAx val="46868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accent1"/>
      </a:solidFill>
      <a:round/>
    </a:ln>
    <a:effectLst/>
  </c:spPr>
  <c:txPr>
    <a:bodyPr/>
    <a:lstStyle/>
    <a:p>
      <a:pPr>
        <a:defRPr sz="1200">
          <a:solidFill>
            <a:schemeClr val="accent2">
              <a:lumMod val="50000"/>
            </a:schemeClr>
          </a:solidFill>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[EuroGro Retail Group Model new.xlsx]Pivot!Opex</c:name>
    <c:fmtId val="3"/>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Opex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accent2">
                <a:lumMod val="20000"/>
                <a:lumOff val="80000"/>
              </a:schemeClr>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lumOff val="40000"/>
            </a:schemeClr>
          </a:solidFill>
          <a:ln w="19050">
            <a:solidFill>
              <a:schemeClr val="accent2">
                <a:lumMod val="20000"/>
                <a:lumOff val="80000"/>
              </a:schemeClr>
            </a:solidFill>
          </a:ln>
          <a:effectLst/>
        </c:spPr>
        <c:dLbl>
          <c:idx val="0"/>
          <c:layout>
            <c:manualLayout>
              <c:x val="0.1091333662109422"/>
              <c:y val="4.7114252061248529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437539913703611"/>
                  <c:h val="0.14706175862292831"/>
                </c:manualLayout>
              </c15:layout>
            </c:ext>
          </c:extLst>
        </c:dLbl>
      </c:pivotFmt>
      <c:pivotFmt>
        <c:idx val="8"/>
        <c:spPr>
          <a:solidFill>
            <a:schemeClr val="tx2">
              <a:lumMod val="50000"/>
              <a:lumOff val="50000"/>
            </a:schemeClr>
          </a:solidFill>
          <a:ln w="19050">
            <a:solidFill>
              <a:schemeClr val="accent2">
                <a:lumMod val="20000"/>
                <a:lumOff val="80000"/>
              </a:schemeClr>
            </a:solidFill>
          </a:ln>
          <a:effectLst/>
        </c:spPr>
        <c:dLbl>
          <c:idx val="0"/>
          <c:layout>
            <c:manualLayout>
              <c:x val="0.11445693993856093"/>
              <c:y val="5.8892815076560662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9991981105084"/>
                  <c:h val="0.17061888465355257"/>
                </c:manualLayout>
              </c15:layout>
            </c:ext>
          </c:extLst>
        </c:dLbl>
      </c:pivotFmt>
      <c:pivotFmt>
        <c:idx val="9"/>
        <c:spPr>
          <a:solidFill>
            <a:schemeClr val="accent1">
              <a:lumMod val="50000"/>
            </a:schemeClr>
          </a:solidFill>
          <a:ln w="19050">
            <a:solidFill>
              <a:schemeClr val="accent2">
                <a:lumMod val="20000"/>
                <a:lumOff val="80000"/>
              </a:schemeClr>
            </a:solidFill>
          </a:ln>
          <a:effectLst/>
        </c:spPr>
        <c:dLbl>
          <c:idx val="0"/>
          <c:layout>
            <c:manualLayout>
              <c:x val="-0.15172174644237518"/>
              <c:y val="-4.7114252061248524E-3"/>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04345901508433"/>
                  <c:h val="0.13040112035465531"/>
                </c:manualLayout>
              </c15:layout>
            </c:ext>
          </c:extLst>
        </c:dLbl>
      </c:pivotFmt>
      <c:pivotFmt>
        <c:idx val="10"/>
        <c:spPr>
          <a:solidFill>
            <a:schemeClr val="bg2">
              <a:alpha val="89804"/>
            </a:schemeClr>
          </a:solidFill>
          <a:ln w="19050">
            <a:solidFill>
              <a:schemeClr val="accent2">
                <a:lumMod val="20000"/>
                <a:lumOff val="80000"/>
              </a:schemeClr>
            </a:solidFill>
          </a:ln>
          <a:effectLst/>
        </c:spPr>
        <c:dLbl>
          <c:idx val="0"/>
          <c:layout>
            <c:manualLayout>
              <c:x val="8.5177284436657869E-2"/>
              <c:y val="-0.1107183068547527"/>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92358911148923"/>
                  <c:h val="0.15177318382905314"/>
                </c:manualLayout>
              </c15:layout>
            </c:ext>
          </c:extLst>
        </c:dLbl>
      </c:pivotFmt>
      <c:pivotFmt>
        <c:idx val="11"/>
        <c:spPr>
          <a:solidFill>
            <a:schemeClr val="tx2">
              <a:lumMod val="25000"/>
              <a:lumOff val="75000"/>
            </a:schemeClr>
          </a:solidFill>
          <a:ln w="19050">
            <a:solidFill>
              <a:schemeClr val="accent2">
                <a:lumMod val="20000"/>
                <a:lumOff val="80000"/>
              </a:schemeClr>
            </a:solidFill>
          </a:ln>
          <a:effectLst/>
        </c:spPr>
        <c:dLbl>
          <c:idx val="0"/>
          <c:layout>
            <c:manualLayout>
              <c:x val="0.11711862200761178"/>
              <c:y val="-3.7691401648998819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0822413241422747"/>
          <c:y val="0.21878671526483218"/>
          <c:w val="0.3780403841272828"/>
          <c:h val="0.6691403503890635"/>
        </c:manualLayout>
      </c:layout>
      <c:doughnutChart>
        <c:varyColors val="1"/>
        <c:ser>
          <c:idx val="0"/>
          <c:order val="0"/>
          <c:tx>
            <c:strRef>
              <c:f>Pivot!$B$17</c:f>
              <c:strCache>
                <c:ptCount val="1"/>
                <c:pt idx="0">
                  <c:v>Total</c:v>
                </c:pt>
              </c:strCache>
            </c:strRef>
          </c:tx>
          <c:spPr>
            <a:ln>
              <a:solidFill>
                <a:schemeClr val="accent2">
                  <a:lumMod val="20000"/>
                  <a:lumOff val="80000"/>
                </a:schemeClr>
              </a:solidFill>
            </a:ln>
          </c:spPr>
          <c:dPt>
            <c:idx val="0"/>
            <c:bubble3D val="0"/>
            <c:spPr>
              <a:solidFill>
                <a:schemeClr val="accent1">
                  <a:lumMod val="60000"/>
                  <a:lumOff val="40000"/>
                </a:schemeClr>
              </a:solidFill>
              <a:ln w="19050">
                <a:solidFill>
                  <a:schemeClr val="accent2">
                    <a:lumMod val="20000"/>
                    <a:lumOff val="80000"/>
                  </a:schemeClr>
                </a:solidFill>
              </a:ln>
              <a:effectLst/>
            </c:spPr>
            <c:extLst>
              <c:ext xmlns:c16="http://schemas.microsoft.com/office/drawing/2014/chart" uri="{C3380CC4-5D6E-409C-BE32-E72D297353CC}">
                <c16:uniqueId val="{00000001-5A22-4798-9654-907A14D2D631}"/>
              </c:ext>
            </c:extLst>
          </c:dPt>
          <c:dPt>
            <c:idx val="1"/>
            <c:bubble3D val="0"/>
            <c:spPr>
              <a:solidFill>
                <a:schemeClr val="tx2">
                  <a:lumMod val="50000"/>
                  <a:lumOff val="50000"/>
                </a:schemeClr>
              </a:solidFill>
              <a:ln w="19050">
                <a:solidFill>
                  <a:schemeClr val="accent2">
                    <a:lumMod val="20000"/>
                    <a:lumOff val="80000"/>
                  </a:schemeClr>
                </a:solidFill>
              </a:ln>
              <a:effectLst/>
            </c:spPr>
            <c:extLst>
              <c:ext xmlns:c16="http://schemas.microsoft.com/office/drawing/2014/chart" uri="{C3380CC4-5D6E-409C-BE32-E72D297353CC}">
                <c16:uniqueId val="{00000003-5A22-4798-9654-907A14D2D631}"/>
              </c:ext>
            </c:extLst>
          </c:dPt>
          <c:dPt>
            <c:idx val="2"/>
            <c:bubble3D val="0"/>
            <c:spPr>
              <a:solidFill>
                <a:schemeClr val="accent1">
                  <a:lumMod val="50000"/>
                </a:schemeClr>
              </a:solidFill>
              <a:ln w="19050">
                <a:solidFill>
                  <a:schemeClr val="accent2">
                    <a:lumMod val="20000"/>
                    <a:lumOff val="80000"/>
                  </a:schemeClr>
                </a:solidFill>
              </a:ln>
              <a:effectLst/>
            </c:spPr>
            <c:extLst>
              <c:ext xmlns:c16="http://schemas.microsoft.com/office/drawing/2014/chart" uri="{C3380CC4-5D6E-409C-BE32-E72D297353CC}">
                <c16:uniqueId val="{00000005-5A22-4798-9654-907A14D2D631}"/>
              </c:ext>
            </c:extLst>
          </c:dPt>
          <c:dPt>
            <c:idx val="3"/>
            <c:bubble3D val="0"/>
            <c:spPr>
              <a:solidFill>
                <a:schemeClr val="bg2">
                  <a:alpha val="89804"/>
                </a:schemeClr>
              </a:solidFill>
              <a:ln w="19050">
                <a:solidFill>
                  <a:schemeClr val="accent2">
                    <a:lumMod val="20000"/>
                    <a:lumOff val="80000"/>
                  </a:schemeClr>
                </a:solidFill>
              </a:ln>
              <a:effectLst/>
            </c:spPr>
            <c:extLst>
              <c:ext xmlns:c16="http://schemas.microsoft.com/office/drawing/2014/chart" uri="{C3380CC4-5D6E-409C-BE32-E72D297353CC}">
                <c16:uniqueId val="{00000007-5A22-4798-9654-907A14D2D631}"/>
              </c:ext>
            </c:extLst>
          </c:dPt>
          <c:dPt>
            <c:idx val="4"/>
            <c:bubble3D val="0"/>
            <c:spPr>
              <a:solidFill>
                <a:schemeClr val="tx2">
                  <a:lumMod val="25000"/>
                  <a:lumOff val="75000"/>
                </a:schemeClr>
              </a:solidFill>
              <a:ln w="19050">
                <a:solidFill>
                  <a:schemeClr val="accent2">
                    <a:lumMod val="20000"/>
                    <a:lumOff val="80000"/>
                  </a:schemeClr>
                </a:solidFill>
              </a:ln>
              <a:effectLst/>
            </c:spPr>
            <c:extLst>
              <c:ext xmlns:c16="http://schemas.microsoft.com/office/drawing/2014/chart" uri="{C3380CC4-5D6E-409C-BE32-E72D297353CC}">
                <c16:uniqueId val="{00000009-5A22-4798-9654-907A14D2D631}"/>
              </c:ext>
            </c:extLst>
          </c:dPt>
          <c:dLbls>
            <c:dLbl>
              <c:idx val="0"/>
              <c:layout>
                <c:manualLayout>
                  <c:x val="0.1091333662109422"/>
                  <c:y val="4.7114252061248529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437539913703611"/>
                      <c:h val="0.14706175862292831"/>
                    </c:manualLayout>
                  </c15:layout>
                </c:ext>
                <c:ext xmlns:c16="http://schemas.microsoft.com/office/drawing/2014/chart" uri="{C3380CC4-5D6E-409C-BE32-E72D297353CC}">
                  <c16:uniqueId val="{00000001-5A22-4798-9654-907A14D2D631}"/>
                </c:ext>
              </c:extLst>
            </c:dLbl>
            <c:dLbl>
              <c:idx val="1"/>
              <c:layout>
                <c:manualLayout>
                  <c:x val="0.11445693993856093"/>
                  <c:y val="5.8892815076560662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9991981105084"/>
                      <c:h val="0.17061888465355257"/>
                    </c:manualLayout>
                  </c15:layout>
                </c:ext>
                <c:ext xmlns:c16="http://schemas.microsoft.com/office/drawing/2014/chart" uri="{C3380CC4-5D6E-409C-BE32-E72D297353CC}">
                  <c16:uniqueId val="{00000003-5A22-4798-9654-907A14D2D631}"/>
                </c:ext>
              </c:extLst>
            </c:dLbl>
            <c:dLbl>
              <c:idx val="2"/>
              <c:layout>
                <c:manualLayout>
                  <c:x val="-0.15172174644237518"/>
                  <c:y val="-4.7114252061248524E-3"/>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04345901508433"/>
                      <c:h val="0.13040112035465531"/>
                    </c:manualLayout>
                  </c15:layout>
                </c:ext>
                <c:ext xmlns:c16="http://schemas.microsoft.com/office/drawing/2014/chart" uri="{C3380CC4-5D6E-409C-BE32-E72D297353CC}">
                  <c16:uniqueId val="{00000005-5A22-4798-9654-907A14D2D631}"/>
                </c:ext>
              </c:extLst>
            </c:dLbl>
            <c:dLbl>
              <c:idx val="3"/>
              <c:layout>
                <c:manualLayout>
                  <c:x val="8.5177284436657869E-2"/>
                  <c:y val="-0.1107183068547527"/>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92358911148923"/>
                      <c:h val="0.15177318382905314"/>
                    </c:manualLayout>
                  </c15:layout>
                </c:ext>
                <c:ext xmlns:c16="http://schemas.microsoft.com/office/drawing/2014/chart" uri="{C3380CC4-5D6E-409C-BE32-E72D297353CC}">
                  <c16:uniqueId val="{00000007-5A22-4798-9654-907A14D2D631}"/>
                </c:ext>
              </c:extLst>
            </c:dLbl>
            <c:dLbl>
              <c:idx val="4"/>
              <c:layout>
                <c:manualLayout>
                  <c:x val="0.11711862200761178"/>
                  <c:y val="-3.7691401648998819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5A22-4798-9654-907A14D2D631}"/>
                </c:ext>
              </c:extLst>
            </c:dLbl>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Pivot!$A$18:$A$23</c:f>
              <c:strCache>
                <c:ptCount val="5"/>
                <c:pt idx="0">
                  <c:v>Marketing </c:v>
                </c:pt>
                <c:pt idx="1">
                  <c:v>Rent </c:v>
                </c:pt>
                <c:pt idx="2">
                  <c:v>Salaries </c:v>
                </c:pt>
                <c:pt idx="3">
                  <c:v>Utilities </c:v>
                </c:pt>
                <c:pt idx="4">
                  <c:v>Inventory</c:v>
                </c:pt>
              </c:strCache>
            </c:strRef>
          </c:cat>
          <c:val>
            <c:numRef>
              <c:f>Pivot!$B$18:$B$23</c:f>
              <c:numCache>
                <c:formatCode>_(* #,##0_);_(* \(#,##0\);_(* "-"??_);_(@_)</c:formatCode>
                <c:ptCount val="5"/>
                <c:pt idx="0">
                  <c:v>120000</c:v>
                </c:pt>
                <c:pt idx="1">
                  <c:v>288000</c:v>
                </c:pt>
                <c:pt idx="2">
                  <c:v>720000</c:v>
                </c:pt>
                <c:pt idx="3">
                  <c:v>96000</c:v>
                </c:pt>
                <c:pt idx="4">
                  <c:v>100000</c:v>
                </c:pt>
              </c:numCache>
            </c:numRef>
          </c:val>
          <c:extLst>
            <c:ext xmlns:c16="http://schemas.microsoft.com/office/drawing/2014/chart" uri="{C3380CC4-5D6E-409C-BE32-E72D297353CC}">
              <c16:uniqueId val="{00000008-5A22-4798-9654-907A14D2D631}"/>
            </c:ext>
          </c:extLst>
        </c:ser>
        <c:dLbls>
          <c:showLegendKey val="0"/>
          <c:showVal val="1"/>
          <c:showCatName val="0"/>
          <c:showSerName val="0"/>
          <c:showPercent val="0"/>
          <c:showBubbleSize val="0"/>
          <c:showLeaderLines val="0"/>
        </c:dLbls>
        <c:firstSliceAng val="75"/>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[EuroGro Retail Group Model new.xlsx]Pivot!Operations</c:name>
    <c:fmtId val="9"/>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Operating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Pivot!$E$7</c:f>
              <c:strCache>
                <c:ptCount val="1"/>
                <c:pt idx="0">
                  <c:v>Op. Exp</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Pivot!$D$8:$D$10</c:f>
              <c:strCache>
                <c:ptCount val="2"/>
                <c:pt idx="0">
                  <c:v>2026</c:v>
                </c:pt>
                <c:pt idx="1">
                  <c:v>2027</c:v>
                </c:pt>
              </c:strCache>
            </c:strRef>
          </c:cat>
          <c:val>
            <c:numRef>
              <c:f>Pivot!$E$8:$E$10</c:f>
              <c:numCache>
                <c:formatCode>_(* #,##0_);_(* \(#,##0\);_(* "-"??_);_(@_)</c:formatCode>
                <c:ptCount val="2"/>
                <c:pt idx="0">
                  <c:v>662000</c:v>
                </c:pt>
                <c:pt idx="1">
                  <c:v>662000</c:v>
                </c:pt>
              </c:numCache>
            </c:numRef>
          </c:val>
          <c:extLst>
            <c:ext xmlns:c16="http://schemas.microsoft.com/office/drawing/2014/chart" uri="{C3380CC4-5D6E-409C-BE32-E72D297353CC}">
              <c16:uniqueId val="{00000000-F629-4E0E-A0F3-A11AB8362466}"/>
            </c:ext>
          </c:extLst>
        </c:ser>
        <c:ser>
          <c:idx val="1"/>
          <c:order val="1"/>
          <c:tx>
            <c:strRef>
              <c:f>Pivot!$F$7</c:f>
              <c:strCache>
                <c:ptCount val="1"/>
                <c:pt idx="0">
                  <c:v>Revenue</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Pivot!$D$8:$D$10</c:f>
              <c:strCache>
                <c:ptCount val="2"/>
                <c:pt idx="0">
                  <c:v>2026</c:v>
                </c:pt>
                <c:pt idx="1">
                  <c:v>2027</c:v>
                </c:pt>
              </c:strCache>
            </c:strRef>
          </c:cat>
          <c:val>
            <c:numRef>
              <c:f>Pivot!$F$8:$F$10</c:f>
              <c:numCache>
                <c:formatCode>_(* #,##0_);_(* \(#,##0\);_(* "-"??_);_(@_)</c:formatCode>
                <c:ptCount val="2"/>
                <c:pt idx="0">
                  <c:v>900000</c:v>
                </c:pt>
                <c:pt idx="1">
                  <c:v>900000</c:v>
                </c:pt>
              </c:numCache>
            </c:numRef>
          </c:val>
          <c:extLst>
            <c:ext xmlns:c16="http://schemas.microsoft.com/office/drawing/2014/chart" uri="{C3380CC4-5D6E-409C-BE32-E72D297353CC}">
              <c16:uniqueId val="{00000001-F629-4E0E-A0F3-A11AB8362466}"/>
            </c:ext>
          </c:extLst>
        </c:ser>
        <c:ser>
          <c:idx val="2"/>
          <c:order val="2"/>
          <c:tx>
            <c:strRef>
              <c:f>Pivot!$G$7</c:f>
              <c:strCache>
                <c:ptCount val="1"/>
                <c:pt idx="0">
                  <c:v>Profit</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Pivot!$D$8:$D$10</c:f>
              <c:strCache>
                <c:ptCount val="2"/>
                <c:pt idx="0">
                  <c:v>2026</c:v>
                </c:pt>
                <c:pt idx="1">
                  <c:v>2027</c:v>
                </c:pt>
              </c:strCache>
            </c:strRef>
          </c:cat>
          <c:val>
            <c:numRef>
              <c:f>Pivot!$G$8:$G$10</c:f>
              <c:numCache>
                <c:formatCode>_(* #,##0_);_(* \(#,##0\);_(* "-"??_);_(@_)</c:formatCode>
                <c:ptCount val="2"/>
                <c:pt idx="0">
                  <c:v>238000</c:v>
                </c:pt>
                <c:pt idx="1">
                  <c:v>238000</c:v>
                </c:pt>
              </c:numCache>
            </c:numRef>
          </c:val>
          <c:extLst>
            <c:ext xmlns:c16="http://schemas.microsoft.com/office/drawing/2014/chart" uri="{C3380CC4-5D6E-409C-BE32-E72D297353CC}">
              <c16:uniqueId val="{00000002-F629-4E0E-A0F3-A11AB8362466}"/>
            </c:ext>
          </c:extLst>
        </c:ser>
        <c:dLbls>
          <c:dLblPos val="outEnd"/>
          <c:showLegendKey val="0"/>
          <c:showVal val="1"/>
          <c:showCatName val="0"/>
          <c:showSerName val="0"/>
          <c:showPercent val="0"/>
          <c:showBubbleSize val="0"/>
        </c:dLbls>
        <c:gapWidth val="219"/>
        <c:overlap val="-27"/>
        <c:axId val="444166624"/>
        <c:axId val="444167104"/>
      </c:barChart>
      <c:catAx>
        <c:axId val="444166624"/>
        <c:scaling>
          <c:orientation val="minMax"/>
        </c:scaling>
        <c:delete val="0"/>
        <c:axPos val="b"/>
        <c:numFmt formatCode="General" sourceLinked="1"/>
        <c:majorTickMark val="none"/>
        <c:minorTickMark val="none"/>
        <c:tickLblPos val="nextTo"/>
        <c:spPr>
          <a:noFill/>
          <a:ln w="12700" cap="flat" cmpd="sng" algn="ctr">
            <a:solidFill>
              <a:schemeClr val="accent1"/>
            </a:solidFill>
            <a:prstDash val="solid"/>
            <a:miter lim="800000"/>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444167104"/>
        <c:crosses val="autoZero"/>
        <c:auto val="1"/>
        <c:lblAlgn val="ctr"/>
        <c:lblOffset val="100"/>
        <c:noMultiLvlLbl val="0"/>
      </c:catAx>
      <c:valAx>
        <c:axId val="444167104"/>
        <c:scaling>
          <c:orientation val="minMax"/>
        </c:scaling>
        <c:delete val="1"/>
        <c:axPos val="l"/>
        <c:numFmt formatCode="_(* #,##0_);_(* \(#,##0\);_(* &quot;-&quot;??_);_(@_)" sourceLinked="1"/>
        <c:majorTickMark val="none"/>
        <c:minorTickMark val="none"/>
        <c:tickLblPos val="nextTo"/>
        <c:crossAx val="444166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[EuroGro Retail Group Model new.xlsx]Pivot!ROI</c:name>
    <c:fmtId val="9"/>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Profit Margin &amp; ROI</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Pivot!$E$14</c:f>
              <c:strCache>
                <c:ptCount val="1"/>
                <c:pt idx="0">
                  <c:v>Profit Margin %</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Pivot!$D$15:$D$17</c:f>
              <c:strCache>
                <c:ptCount val="2"/>
                <c:pt idx="0">
                  <c:v>2026</c:v>
                </c:pt>
                <c:pt idx="1">
                  <c:v>2027</c:v>
                </c:pt>
              </c:strCache>
            </c:strRef>
          </c:cat>
          <c:val>
            <c:numRef>
              <c:f>Pivot!$E$15:$E$17</c:f>
              <c:numCache>
                <c:formatCode>0%</c:formatCode>
                <c:ptCount val="2"/>
                <c:pt idx="0">
                  <c:v>0.26444444444444443</c:v>
                </c:pt>
                <c:pt idx="1">
                  <c:v>0.26444444444444443</c:v>
                </c:pt>
              </c:numCache>
            </c:numRef>
          </c:val>
          <c:extLst>
            <c:ext xmlns:c16="http://schemas.microsoft.com/office/drawing/2014/chart" uri="{C3380CC4-5D6E-409C-BE32-E72D297353CC}">
              <c16:uniqueId val="{00000000-D514-4624-85A9-3B7B09A1F5EE}"/>
            </c:ext>
          </c:extLst>
        </c:ser>
        <c:ser>
          <c:idx val="1"/>
          <c:order val="1"/>
          <c:tx>
            <c:strRef>
              <c:f>Pivot!$F$14</c:f>
              <c:strCache>
                <c:ptCount val="1"/>
                <c:pt idx="0">
                  <c:v>ROI %</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Pivot!$D$15:$D$17</c:f>
              <c:strCache>
                <c:ptCount val="2"/>
                <c:pt idx="0">
                  <c:v>2026</c:v>
                </c:pt>
                <c:pt idx="1">
                  <c:v>2027</c:v>
                </c:pt>
              </c:strCache>
            </c:strRef>
          </c:cat>
          <c:val>
            <c:numRef>
              <c:f>Pivot!$F$15:$F$17</c:f>
              <c:numCache>
                <c:formatCode>0%</c:formatCode>
                <c:ptCount val="2"/>
                <c:pt idx="0">
                  <c:v>0.24612202688728024</c:v>
                </c:pt>
                <c:pt idx="1">
                  <c:v>0.3595166163141994</c:v>
                </c:pt>
              </c:numCache>
            </c:numRef>
          </c:val>
          <c:extLst>
            <c:ext xmlns:c16="http://schemas.microsoft.com/office/drawing/2014/chart" uri="{C3380CC4-5D6E-409C-BE32-E72D297353CC}">
              <c16:uniqueId val="{00000001-D514-4624-85A9-3B7B09A1F5EE}"/>
            </c:ext>
          </c:extLst>
        </c:ser>
        <c:dLbls>
          <c:dLblPos val="outEnd"/>
          <c:showLegendKey val="0"/>
          <c:showVal val="1"/>
          <c:showCatName val="0"/>
          <c:showSerName val="0"/>
          <c:showPercent val="0"/>
          <c:showBubbleSize val="0"/>
        </c:dLbls>
        <c:gapWidth val="219"/>
        <c:overlap val="-27"/>
        <c:axId val="172626368"/>
        <c:axId val="172627328"/>
      </c:barChart>
      <c:catAx>
        <c:axId val="172626368"/>
        <c:scaling>
          <c:orientation val="minMax"/>
        </c:scaling>
        <c:delete val="0"/>
        <c:axPos val="b"/>
        <c:numFmt formatCode="General" sourceLinked="1"/>
        <c:majorTickMark val="none"/>
        <c:minorTickMark val="none"/>
        <c:tickLblPos val="nextTo"/>
        <c:spPr>
          <a:noFill/>
          <a:ln w="12700" cap="flat" cmpd="sng" algn="ctr">
            <a:solidFill>
              <a:schemeClr val="accent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627328"/>
        <c:crosses val="autoZero"/>
        <c:auto val="1"/>
        <c:lblAlgn val="ctr"/>
        <c:lblOffset val="100"/>
        <c:noMultiLvlLbl val="0"/>
      </c:catAx>
      <c:valAx>
        <c:axId val="172627328"/>
        <c:scaling>
          <c:orientation val="minMax"/>
        </c:scaling>
        <c:delete val="1"/>
        <c:axPos val="l"/>
        <c:numFmt formatCode="0%" sourceLinked="1"/>
        <c:majorTickMark val="none"/>
        <c:minorTickMark val="none"/>
        <c:tickLblPos val="nextTo"/>
        <c:crossAx val="172626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3" dropStyle="combo" dx="31" fmlaLink="'Cost Assumptions'!$B$19" fmlaRange="'Cost Assumptions'!$A$20:$A$22" sel="1" val="0"/>
</file>

<file path=xl/ctrlProps/ctrlProp2.xml><?xml version="1.0" encoding="utf-8"?>
<formControlPr xmlns="http://schemas.microsoft.com/office/spreadsheetml/2009/9/main" objectType="Drop" dropLines="3" dropStyle="combo" dx="31" fmlaLink="'Revenue Assumptions'!$D$76" fmlaRange="'Revenue Assumptions'!$C$77:$C$79" sel="1" val="0"/>
</file>

<file path=xl/ctrlProps/ctrlProp3.xml><?xml version="1.0" encoding="utf-8"?>
<formControlPr xmlns="http://schemas.microsoft.com/office/spreadsheetml/2009/9/main" objectType="Drop" dropLines="3" dropStyle="combo" dx="31" fmlaLink="'Revenue Assumptions'!$D$82" fmlaRange="'Revenue Assumptions'!$C$83:$C$85" sel="1" val="0"/>
</file>

<file path=xl/ctrlProps/ctrlProp4.xml><?xml version="1.0" encoding="utf-8"?>
<formControlPr xmlns="http://schemas.microsoft.com/office/spreadsheetml/2009/9/main" objectType="Drop" dropLines="3" dropStyle="combo" dx="31" fmlaLink="'Cost Assumptions'!$B$19" fmlaRange="'Cost Assumptions'!$A$20:$A$22" sel="1" val="0"/>
</file>

<file path=xl/ctrlProps/ctrlProp5.xml><?xml version="1.0" encoding="utf-8"?>
<formControlPr xmlns="http://schemas.microsoft.com/office/spreadsheetml/2009/9/main" objectType="Drop" dropLines="3" dropStyle="combo" dx="31" fmlaLink="'Revenue Assumptions'!$D$76" fmlaRange="'Revenue Assumptions'!$C$77:$C$79" sel="1" val="0"/>
</file>

<file path=xl/ctrlProps/ctrlProp6.xml><?xml version="1.0" encoding="utf-8"?>
<formControlPr xmlns="http://schemas.microsoft.com/office/spreadsheetml/2009/9/main" objectType="Drop" dropLines="3" dropStyle="combo" dx="31" fmlaLink="'Revenue Assumptions'!$D$82" fmlaRange="'Revenue Assumptions'!$C$83:$C$85" sel="1" val="0"/>
</file>

<file path=xl/ctrlProps/ctrlProp7.xml><?xml version="1.0" encoding="utf-8"?>
<formControlPr xmlns="http://schemas.microsoft.com/office/spreadsheetml/2009/9/main" objectType="Drop" dropLines="3" dropStyle="combo" dx="31" fmlaLink="'Cost Assumptions'!$B$19" fmlaRange="'Cost Assumptions'!$A$20:$A$22" sel="1" val="0"/>
</file>

<file path=xl/ctrlProps/ctrlProp8.xml><?xml version="1.0" encoding="utf-8"?>
<formControlPr xmlns="http://schemas.microsoft.com/office/spreadsheetml/2009/9/main" objectType="Drop" dropLines="3" dropStyle="combo" dx="31" fmlaLink="'Revenue Assumptions'!$D$76" fmlaRange="'Revenue Assumptions'!$C$77:$C$79" sel="1" val="0"/>
</file>

<file path=xl/ctrlProps/ctrlProp9.xml><?xml version="1.0" encoding="utf-8"?>
<formControlPr xmlns="http://schemas.microsoft.com/office/spreadsheetml/2009/9/main" objectType="Drop" dropLines="3" dropStyle="combo" dx="31" fmlaLink="'Revenue Assumptions'!$D$82" fmlaRange="'Revenue Assumptions'!$C$83:$C$85" sel="1" val="0"/>
</file>

<file path=xl/ctrlProps/ctrlProp10.xml><?xml version="1.0" encoding="utf-8"?>
<formControlPr xmlns="http://schemas.microsoft.com/office/spreadsheetml/2009/9/main" objectType="Drop" dropLines="3" dropStyle="combo" dx="31" fmlaLink="'Cost Assumptions'!$B$19" fmlaRange="'Cost Assumptions'!$A$20:$A$22" sel="1" val="0"/>
</file>

<file path=xl/ctrlProps/ctrlProp11.xml><?xml version="1.0" encoding="utf-8"?>
<formControlPr xmlns="http://schemas.microsoft.com/office/spreadsheetml/2009/9/main" objectType="Drop" dropLines="3" dropStyle="combo" dx="31" fmlaLink="'Revenue Assumptions'!$D$76" fmlaRange="'Revenue Assumptions'!$C$77:$C$79" sel="1" val="0"/>
</file>

<file path=xl/ctrlProps/ctrlProp12.xml><?xml version="1.0" encoding="utf-8"?>
<formControlPr xmlns="http://schemas.microsoft.com/office/spreadsheetml/2009/9/main" objectType="Drop" dropLines="3" dropStyle="combo" dx="31" fmlaLink="'Revenue Assumptions'!$D$82" fmlaRange="'Revenue Assumptions'!$C$83:$C$85" sel="1" val="0"/>
</file>

<file path=xl/ctrlProps/ctrlProp13.xml><?xml version="1.0" encoding="utf-8"?>
<formControlPr xmlns="http://schemas.microsoft.com/office/spreadsheetml/2009/9/main" objectType="Drop" dropLines="3" dropStyle="combo" dx="31" fmlaLink="'Cost Assumptions'!$B$19" fmlaRange="'Cost Assumptions'!$A$20:$A$22" sel="1" val="0"/>
</file>

<file path=xl/ctrlProps/ctrlProp14.xml><?xml version="1.0" encoding="utf-8"?>
<formControlPr xmlns="http://schemas.microsoft.com/office/spreadsheetml/2009/9/main" objectType="Drop" dropLines="3" dropStyle="combo" dx="31" fmlaLink="'Revenue Assumptions'!$D$76" fmlaRange="'Revenue Assumptions'!$C$77:$C$79" sel="1" val="0"/>
</file>

<file path=xl/ctrlProps/ctrlProp15.xml><?xml version="1.0" encoding="utf-8"?>
<formControlPr xmlns="http://schemas.microsoft.com/office/spreadsheetml/2009/9/main" objectType="Drop" dropLines="3" dropStyle="combo" dx="31" fmlaLink="'Revenue Assumptions'!$D$82" fmlaRange="'Revenue Assumptions'!$C$83:$C$85" sel="1" val="0"/>
</file>

<file path=xl/ctrlProps/ctrlProp16.xml><?xml version="1.0" encoding="utf-8"?>
<formControlPr xmlns="http://schemas.microsoft.com/office/spreadsheetml/2009/9/main" objectType="Drop" dropLines="3" dropStyle="combo" dx="31" fmlaLink="'Cost Assumptions'!$B$19" fmlaRange="'Cost Assumptions'!$A$20:$A$22" sel="1" val="0"/>
</file>

<file path=xl/ctrlProps/ctrlProp17.xml><?xml version="1.0" encoding="utf-8"?>
<formControlPr xmlns="http://schemas.microsoft.com/office/spreadsheetml/2009/9/main" objectType="Drop" dropLines="3" dropStyle="combo" dx="31" fmlaLink="'Revenue Assumptions'!$D$76" fmlaRange="'Revenue Assumptions'!$C$77:$C$79" sel="1" val="0"/>
</file>

<file path=xl/ctrlProps/ctrlProp18.xml><?xml version="1.0" encoding="utf-8"?>
<formControlPr xmlns="http://schemas.microsoft.com/office/spreadsheetml/2009/9/main" objectType="Drop" dropLines="3" dropStyle="combo" dx="31" fmlaLink="'Revenue Assumptions'!$D$82" fmlaRange="'Revenue Assumptions'!$C$83:$C$85" sel="1" val="0"/>
</file>

<file path=xl/ctrlProps/ctrlProp19.xml><?xml version="1.0" encoding="utf-8"?>
<formControlPr xmlns="http://schemas.microsoft.com/office/spreadsheetml/2009/9/main" objectType="Drop" dropLines="3" dropStyle="combo" dx="31" fmlaLink="'Cost Assumptions'!$B$19" fmlaRange="'Cost Assumptions'!$A$20:$A$22" sel="1" val="0"/>
</file>

<file path=xl/ctrlProps/ctrlProp20.xml><?xml version="1.0" encoding="utf-8"?>
<formControlPr xmlns="http://schemas.microsoft.com/office/spreadsheetml/2009/9/main" objectType="Drop" dropLines="3" dropStyle="combo" dx="31" fmlaLink="'Revenue Assumptions'!$D$76" fmlaRange="'Revenue Assumptions'!$C$77:$C$79" sel="1" val="0"/>
</file>

<file path=xl/ctrlProps/ctrlProp21.xml><?xml version="1.0" encoding="utf-8"?>
<formControlPr xmlns="http://schemas.microsoft.com/office/spreadsheetml/2009/9/main" objectType="Drop" dropLines="3" dropStyle="combo" dx="31" fmlaLink="'Revenue Assumptions'!$D$82" fmlaRange="'Revenue Assumptions'!$C$83:$C$85" sel="1" val="0"/>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222250</xdr:colOff>
          <xdr:row>0</xdr:row>
          <xdr:rowOff>38100</xdr:rowOff>
        </xdr:from>
        <xdr:to>
          <xdr:col>1</xdr:col>
          <xdr:colOff>990600</xdr:colOff>
          <xdr:row>0</xdr:row>
          <xdr:rowOff>165100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xdr:row>
          <xdr:rowOff>38100</xdr:rowOff>
        </xdr:from>
        <xdr:to>
          <xdr:col>1</xdr:col>
          <xdr:colOff>990600</xdr:colOff>
          <xdr:row>1</xdr:row>
          <xdr:rowOff>152400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2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2</xdr:row>
          <xdr:rowOff>38100</xdr:rowOff>
        </xdr:from>
        <xdr:to>
          <xdr:col>1</xdr:col>
          <xdr:colOff>977900</xdr:colOff>
          <xdr:row>2</xdr:row>
          <xdr:rowOff>152400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209550</xdr:colOff>
          <xdr:row>0</xdr:row>
          <xdr:rowOff>19050</xdr:rowOff>
        </xdr:from>
        <xdr:to>
          <xdr:col>1</xdr:col>
          <xdr:colOff>990600</xdr:colOff>
          <xdr:row>0</xdr:row>
          <xdr:rowOff>152400</xdr:rowOff>
        </xdr:to>
        <xdr:sp macro="" textlink="">
          <xdr:nvSpPr>
            <xdr:cNvPr id="9218" name="Drop Down 2" hidden="1">
              <a:extLst>
                <a:ext uri="{63B3BB69-23CF-44E3-9099-C40C66FF867C}">
                  <a14:compatExt spid="_x0000_s9218"/>
                </a:ext>
                <a:ext uri="{FF2B5EF4-FFF2-40B4-BE49-F238E27FC236}">
                  <a16:creationId xmlns:a16="http://schemas.microsoft.com/office/drawing/2014/main" id="{00000000-0008-0000-0300-00000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xdr:row>
          <xdr:rowOff>38100</xdr:rowOff>
        </xdr:from>
        <xdr:to>
          <xdr:col>1</xdr:col>
          <xdr:colOff>990600</xdr:colOff>
          <xdr:row>1</xdr:row>
          <xdr:rowOff>152400</xdr:rowOff>
        </xdr:to>
        <xdr:sp macro="" textlink="">
          <xdr:nvSpPr>
            <xdr:cNvPr id="9219" name="Drop Down 3" hidden="1">
              <a:extLst>
                <a:ext uri="{63B3BB69-23CF-44E3-9099-C40C66FF867C}">
                  <a14:compatExt spid="_x0000_s9219"/>
                </a:ext>
                <a:ext uri="{FF2B5EF4-FFF2-40B4-BE49-F238E27FC236}">
                  <a16:creationId xmlns:a16="http://schemas.microsoft.com/office/drawing/2014/main" id="{00000000-0008-0000-0300-00000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2</xdr:row>
          <xdr:rowOff>38100</xdr:rowOff>
        </xdr:from>
        <xdr:to>
          <xdr:col>1</xdr:col>
          <xdr:colOff>977900</xdr:colOff>
          <xdr:row>2</xdr:row>
          <xdr:rowOff>152400</xdr:rowOff>
        </xdr:to>
        <xdr:sp macro="" textlink="">
          <xdr:nvSpPr>
            <xdr:cNvPr id="9220" name="Drop Down 4" hidden="1">
              <a:extLst>
                <a:ext uri="{63B3BB69-23CF-44E3-9099-C40C66FF867C}">
                  <a14:compatExt spid="_x0000_s9220"/>
                </a:ext>
                <a:ext uri="{FF2B5EF4-FFF2-40B4-BE49-F238E27FC236}">
                  <a16:creationId xmlns:a16="http://schemas.microsoft.com/office/drawing/2014/main" id="{00000000-0008-0000-0300-00000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209550</xdr:colOff>
          <xdr:row>0</xdr:row>
          <xdr:rowOff>19050</xdr:rowOff>
        </xdr:from>
        <xdr:to>
          <xdr:col>1</xdr:col>
          <xdr:colOff>990600</xdr:colOff>
          <xdr:row>0</xdr:row>
          <xdr:rowOff>152400</xdr:rowOff>
        </xdr:to>
        <xdr:sp macro="" textlink="">
          <xdr:nvSpPr>
            <xdr:cNvPr id="10242" name="Drop Down 2" hidden="1">
              <a:extLst>
                <a:ext uri="{63B3BB69-23CF-44E3-9099-C40C66FF867C}">
                  <a14:compatExt spid="_x0000_s10242"/>
                </a:ext>
                <a:ext uri="{FF2B5EF4-FFF2-40B4-BE49-F238E27FC236}">
                  <a16:creationId xmlns:a16="http://schemas.microsoft.com/office/drawing/2014/main" id="{00000000-0008-0000-04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xdr:row>
          <xdr:rowOff>38100</xdr:rowOff>
        </xdr:from>
        <xdr:to>
          <xdr:col>1</xdr:col>
          <xdr:colOff>990600</xdr:colOff>
          <xdr:row>1</xdr:row>
          <xdr:rowOff>152400</xdr:rowOff>
        </xdr:to>
        <xdr:sp macro="" textlink="">
          <xdr:nvSpPr>
            <xdr:cNvPr id="10243" name="Drop Down 3" hidden="1">
              <a:extLst>
                <a:ext uri="{63B3BB69-23CF-44E3-9099-C40C66FF867C}">
                  <a14:compatExt spid="_x0000_s10243"/>
                </a:ext>
                <a:ext uri="{FF2B5EF4-FFF2-40B4-BE49-F238E27FC236}">
                  <a16:creationId xmlns:a16="http://schemas.microsoft.com/office/drawing/2014/main" id="{00000000-0008-0000-0400-00000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2</xdr:row>
          <xdr:rowOff>38100</xdr:rowOff>
        </xdr:from>
        <xdr:to>
          <xdr:col>1</xdr:col>
          <xdr:colOff>977900</xdr:colOff>
          <xdr:row>2</xdr:row>
          <xdr:rowOff>152400</xdr:rowOff>
        </xdr:to>
        <xdr:sp macro="" textlink="">
          <xdr:nvSpPr>
            <xdr:cNvPr id="10244" name="Drop Down 4" hidden="1">
              <a:extLst>
                <a:ext uri="{63B3BB69-23CF-44E3-9099-C40C66FF867C}">
                  <a14:compatExt spid="_x0000_s10244"/>
                </a:ext>
                <a:ext uri="{FF2B5EF4-FFF2-40B4-BE49-F238E27FC236}">
                  <a16:creationId xmlns:a16="http://schemas.microsoft.com/office/drawing/2014/main" id="{00000000-0008-0000-0400-00000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196850</xdr:colOff>
          <xdr:row>0</xdr:row>
          <xdr:rowOff>44450</xdr:rowOff>
        </xdr:from>
        <xdr:to>
          <xdr:col>1</xdr:col>
          <xdr:colOff>977900</xdr:colOff>
          <xdr:row>0</xdr:row>
          <xdr:rowOff>165100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xdr:row>
          <xdr:rowOff>38100</xdr:rowOff>
        </xdr:from>
        <xdr:to>
          <xdr:col>1</xdr:col>
          <xdr:colOff>990600</xdr:colOff>
          <xdr:row>1</xdr:row>
          <xdr:rowOff>152400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2</xdr:row>
          <xdr:rowOff>38100</xdr:rowOff>
        </xdr:from>
        <xdr:to>
          <xdr:col>1</xdr:col>
          <xdr:colOff>984250</xdr:colOff>
          <xdr:row>2</xdr:row>
          <xdr:rowOff>152400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196850</xdr:colOff>
          <xdr:row>0</xdr:row>
          <xdr:rowOff>44450</xdr:rowOff>
        </xdr:from>
        <xdr:to>
          <xdr:col>1</xdr:col>
          <xdr:colOff>984250</xdr:colOff>
          <xdr:row>0</xdr:row>
          <xdr:rowOff>165100</xdr:rowOff>
        </xdr:to>
        <xdr:sp macro="" textlink="">
          <xdr:nvSpPr>
            <xdr:cNvPr id="11265" name="Drop Down 1" hidden="1">
              <a:extLst>
                <a:ext uri="{63B3BB69-23CF-44E3-9099-C40C66FF867C}">
                  <a14:compatExt spid="_x0000_s11265"/>
                </a:ext>
                <a:ext uri="{FF2B5EF4-FFF2-40B4-BE49-F238E27FC236}">
                  <a16:creationId xmlns:a16="http://schemas.microsoft.com/office/drawing/2014/main" id="{00000000-0008-0000-06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xdr:row>
          <xdr:rowOff>38100</xdr:rowOff>
        </xdr:from>
        <xdr:to>
          <xdr:col>1</xdr:col>
          <xdr:colOff>990600</xdr:colOff>
          <xdr:row>1</xdr:row>
          <xdr:rowOff>152400</xdr:rowOff>
        </xdr:to>
        <xdr:sp macro="" textlink="">
          <xdr:nvSpPr>
            <xdr:cNvPr id="11266" name="Drop Down 2" hidden="1">
              <a:extLst>
                <a:ext uri="{63B3BB69-23CF-44E3-9099-C40C66FF867C}">
                  <a14:compatExt spid="_x0000_s11266"/>
                </a:ext>
                <a:ext uri="{FF2B5EF4-FFF2-40B4-BE49-F238E27FC236}">
                  <a16:creationId xmlns:a16="http://schemas.microsoft.com/office/drawing/2014/main" id="{00000000-0008-0000-06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2</xdr:row>
          <xdr:rowOff>38100</xdr:rowOff>
        </xdr:from>
        <xdr:to>
          <xdr:col>1</xdr:col>
          <xdr:colOff>984250</xdr:colOff>
          <xdr:row>2</xdr:row>
          <xdr:rowOff>152400</xdr:rowOff>
        </xdr:to>
        <xdr:sp macro="" textlink="">
          <xdr:nvSpPr>
            <xdr:cNvPr id="11267" name="Drop Down 3" hidden="1">
              <a:extLst>
                <a:ext uri="{63B3BB69-23CF-44E3-9099-C40C66FF867C}">
                  <a14:compatExt spid="_x0000_s11267"/>
                </a:ext>
                <a:ext uri="{FF2B5EF4-FFF2-40B4-BE49-F238E27FC236}">
                  <a16:creationId xmlns:a16="http://schemas.microsoft.com/office/drawing/2014/main" id="{00000000-0008-0000-0600-00000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196850</xdr:colOff>
          <xdr:row>0</xdr:row>
          <xdr:rowOff>44450</xdr:rowOff>
        </xdr:from>
        <xdr:to>
          <xdr:col>1</xdr:col>
          <xdr:colOff>984250</xdr:colOff>
          <xdr:row>0</xdr:row>
          <xdr:rowOff>165100</xdr:rowOff>
        </xdr:to>
        <xdr:sp macro="" textlink="">
          <xdr:nvSpPr>
            <xdr:cNvPr id="13313" name="Drop Down 1" hidden="1">
              <a:extLst>
                <a:ext uri="{63B3BB69-23CF-44E3-9099-C40C66FF867C}">
                  <a14:compatExt spid="_x0000_s13313"/>
                </a:ext>
                <a:ext uri="{FF2B5EF4-FFF2-40B4-BE49-F238E27FC236}">
                  <a16:creationId xmlns:a16="http://schemas.microsoft.com/office/drawing/2014/main" id="{00000000-0008-0000-07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xdr:row>
          <xdr:rowOff>38100</xdr:rowOff>
        </xdr:from>
        <xdr:to>
          <xdr:col>1</xdr:col>
          <xdr:colOff>990600</xdr:colOff>
          <xdr:row>1</xdr:row>
          <xdr:rowOff>152400</xdr:rowOff>
        </xdr:to>
        <xdr:sp macro="" textlink="">
          <xdr:nvSpPr>
            <xdr:cNvPr id="13314" name="Drop Down 2" hidden="1">
              <a:extLst>
                <a:ext uri="{63B3BB69-23CF-44E3-9099-C40C66FF867C}">
                  <a14:compatExt spid="_x0000_s13314"/>
                </a:ext>
                <a:ext uri="{FF2B5EF4-FFF2-40B4-BE49-F238E27FC236}">
                  <a16:creationId xmlns:a16="http://schemas.microsoft.com/office/drawing/2014/main" id="{00000000-0008-0000-07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2</xdr:row>
          <xdr:rowOff>38100</xdr:rowOff>
        </xdr:from>
        <xdr:to>
          <xdr:col>1</xdr:col>
          <xdr:colOff>984250</xdr:colOff>
          <xdr:row>2</xdr:row>
          <xdr:rowOff>152400</xdr:rowOff>
        </xdr:to>
        <xdr:sp macro="" textlink="">
          <xdr:nvSpPr>
            <xdr:cNvPr id="13315" name="Drop Down 3" hidden="1">
              <a:extLst>
                <a:ext uri="{63B3BB69-23CF-44E3-9099-C40C66FF867C}">
                  <a14:compatExt spid="_x0000_s13315"/>
                </a:ext>
                <a:ext uri="{FF2B5EF4-FFF2-40B4-BE49-F238E27FC236}">
                  <a16:creationId xmlns:a16="http://schemas.microsoft.com/office/drawing/2014/main" id="{00000000-0008-0000-07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601664</xdr:colOff>
      <xdr:row>2</xdr:row>
      <xdr:rowOff>146049</xdr:rowOff>
    </xdr:from>
    <xdr:to>
      <xdr:col>12</xdr:col>
      <xdr:colOff>428626</xdr:colOff>
      <xdr:row>4</xdr:row>
      <xdr:rowOff>164306</xdr:rowOff>
    </xdr:to>
    <xdr:sp macro="" textlink="">
      <xdr:nvSpPr>
        <xdr:cNvPr id="2" name="Rectangle: Rounded Corners 1">
          <a:extLst>
            <a:ext uri="{FF2B5EF4-FFF2-40B4-BE49-F238E27FC236}">
              <a16:creationId xmlns:a16="http://schemas.microsoft.com/office/drawing/2014/main" id="{AC014BE2-B77C-98F6-DBDC-DE1020AF77AE}"/>
            </a:ext>
          </a:extLst>
        </xdr:cNvPr>
        <xdr:cNvSpPr/>
      </xdr:nvSpPr>
      <xdr:spPr>
        <a:xfrm>
          <a:off x="1208883" y="503237"/>
          <a:ext cx="6506368" cy="375444"/>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70C0"/>
              </a:solidFill>
            </a:rPr>
            <a:t>EuroGro</a:t>
          </a:r>
          <a:r>
            <a:rPr lang="en-US" sz="2000" b="1">
              <a:solidFill>
                <a:srgbClr val="002060"/>
              </a:solidFill>
            </a:rPr>
            <a:t> </a:t>
          </a:r>
          <a:r>
            <a:rPr lang="en-US" sz="2000" b="1">
              <a:solidFill>
                <a:srgbClr val="0070C0"/>
              </a:solidFill>
            </a:rPr>
            <a:t>Retail</a:t>
          </a:r>
          <a:r>
            <a:rPr lang="en-US" sz="2000" b="1">
              <a:solidFill>
                <a:srgbClr val="002060"/>
              </a:solidFill>
            </a:rPr>
            <a:t> </a:t>
          </a:r>
          <a:r>
            <a:rPr lang="en-US" sz="2000" b="1">
              <a:solidFill>
                <a:srgbClr val="0070C0"/>
              </a:solidFill>
            </a:rPr>
            <a:t>Group</a:t>
          </a:r>
          <a:r>
            <a:rPr lang="en-US" sz="2000" b="1">
              <a:solidFill>
                <a:srgbClr val="002060"/>
              </a:solidFill>
            </a:rPr>
            <a:t> </a:t>
          </a:r>
          <a:r>
            <a:rPr lang="en-US" sz="2000" b="1">
              <a:solidFill>
                <a:srgbClr val="0070C0"/>
              </a:solidFill>
            </a:rPr>
            <a:t>Financial</a:t>
          </a:r>
          <a:r>
            <a:rPr lang="en-US" sz="2000" b="1">
              <a:solidFill>
                <a:srgbClr val="002060"/>
              </a:solidFill>
            </a:rPr>
            <a:t> </a:t>
          </a:r>
          <a:r>
            <a:rPr lang="en-US" sz="2000" b="1">
              <a:solidFill>
                <a:srgbClr val="0070C0"/>
              </a:solidFill>
            </a:rPr>
            <a:t>Model</a:t>
          </a:r>
          <a:r>
            <a:rPr lang="en-US" sz="2000" b="1">
              <a:solidFill>
                <a:srgbClr val="002060"/>
              </a:solidFill>
            </a:rPr>
            <a:t> </a:t>
          </a:r>
          <a:r>
            <a:rPr lang="en-US" sz="2000" b="1">
              <a:solidFill>
                <a:srgbClr val="0070C0"/>
              </a:solidFill>
            </a:rPr>
            <a:t>Dashboard</a:t>
          </a:r>
        </a:p>
      </xdr:txBody>
    </xdr:sp>
    <xdr:clientData/>
  </xdr:twoCellAnchor>
  <mc:AlternateContent xmlns:mc="http://schemas.openxmlformats.org/markup-compatibility/2006">
    <mc:Choice xmlns:a14="http://schemas.microsoft.com/office/drawing/2010/main" Requires="a14">
      <xdr:twoCellAnchor editAs="oneCell">
        <xdr:from>
          <xdr:col>19</xdr:col>
          <xdr:colOff>31750</xdr:colOff>
          <xdr:row>2</xdr:row>
          <xdr:rowOff>44450</xdr:rowOff>
        </xdr:from>
        <xdr:to>
          <xdr:col>20</xdr:col>
          <xdr:colOff>209550</xdr:colOff>
          <xdr:row>2</xdr:row>
          <xdr:rowOff>165100</xdr:rowOff>
        </xdr:to>
        <xdr:sp macro="" textlink="">
          <xdr:nvSpPr>
            <xdr:cNvPr id="12290" name="Drop Down 2" hidden="1">
              <a:extLst>
                <a:ext uri="{63B3BB69-23CF-44E3-9099-C40C66FF867C}">
                  <a14:compatExt spid="_x0000_s12290"/>
                </a:ext>
                <a:ext uri="{FF2B5EF4-FFF2-40B4-BE49-F238E27FC236}">
                  <a16:creationId xmlns:a16="http://schemas.microsoft.com/office/drawing/2014/main" id="{00000000-0008-0000-0900-0000023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44450</xdr:colOff>
          <xdr:row>3</xdr:row>
          <xdr:rowOff>50800</xdr:rowOff>
        </xdr:from>
        <xdr:to>
          <xdr:col>20</xdr:col>
          <xdr:colOff>215900</xdr:colOff>
          <xdr:row>3</xdr:row>
          <xdr:rowOff>165100</xdr:rowOff>
        </xdr:to>
        <xdr:sp macro="" textlink="">
          <xdr:nvSpPr>
            <xdr:cNvPr id="12291" name="Drop Down 3" hidden="1">
              <a:extLst>
                <a:ext uri="{63B3BB69-23CF-44E3-9099-C40C66FF867C}">
                  <a14:compatExt spid="_x0000_s12291"/>
                </a:ext>
                <a:ext uri="{FF2B5EF4-FFF2-40B4-BE49-F238E27FC236}">
                  <a16:creationId xmlns:a16="http://schemas.microsoft.com/office/drawing/2014/main" id="{00000000-0008-0000-0900-0000033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44450</xdr:colOff>
          <xdr:row>4</xdr:row>
          <xdr:rowOff>63500</xdr:rowOff>
        </xdr:from>
        <xdr:to>
          <xdr:col>20</xdr:col>
          <xdr:colOff>209550</xdr:colOff>
          <xdr:row>4</xdr:row>
          <xdr:rowOff>177800</xdr:rowOff>
        </xdr:to>
        <xdr:sp macro="" textlink="">
          <xdr:nvSpPr>
            <xdr:cNvPr id="12292" name="Drop Down 4" hidden="1">
              <a:extLst>
                <a:ext uri="{63B3BB69-23CF-44E3-9099-C40C66FF867C}">
                  <a14:compatExt spid="_x0000_s12292"/>
                </a:ext>
                <a:ext uri="{FF2B5EF4-FFF2-40B4-BE49-F238E27FC236}">
                  <a16:creationId xmlns:a16="http://schemas.microsoft.com/office/drawing/2014/main" id="{00000000-0008-0000-0900-0000043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0</xdr:colOff>
      <xdr:row>6</xdr:row>
      <xdr:rowOff>130969</xdr:rowOff>
    </xdr:from>
    <xdr:to>
      <xdr:col>4</xdr:col>
      <xdr:colOff>437833</xdr:colOff>
      <xdr:row>11</xdr:row>
      <xdr:rowOff>152401</xdr:rowOff>
    </xdr:to>
    <xdr:sp macro="" textlink="Pivot!A4">
      <xdr:nvSpPr>
        <xdr:cNvPr id="3" name="Rectangle: Rounded Corners 2">
          <a:extLst>
            <a:ext uri="{FF2B5EF4-FFF2-40B4-BE49-F238E27FC236}">
              <a16:creationId xmlns:a16="http://schemas.microsoft.com/office/drawing/2014/main" id="{5BEB1060-782A-4B35-8023-6D0595E0E435}"/>
            </a:ext>
          </a:extLst>
        </xdr:cNvPr>
        <xdr:cNvSpPr/>
      </xdr:nvSpPr>
      <xdr:spPr>
        <a:xfrm>
          <a:off x="1214438" y="1202532"/>
          <a:ext cx="1652270" cy="914400"/>
        </a:xfrm>
        <a:prstGeom prst="roundRect">
          <a:avLst>
            <a:gd name="adj" fmla="val 625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905E949-6B72-4FBB-9A7E-F259589D2A8D}" type="TxLink">
            <a:rPr lang="en-US" sz="2000" b="1">
              <a:solidFill>
                <a:srgbClr val="0070C0"/>
              </a:solidFill>
              <a:latin typeface="+mn-lt"/>
              <a:ea typeface="+mn-ea"/>
              <a:cs typeface="+mn-cs"/>
            </a:rPr>
            <a:pPr marL="0" indent="0" algn="ctr"/>
            <a:t> € 305,000 </a:t>
          </a:fld>
          <a:endParaRPr lang="en-US" sz="2000" b="1">
            <a:solidFill>
              <a:srgbClr val="0070C0"/>
            </a:solidFill>
            <a:latin typeface="+mn-lt"/>
            <a:ea typeface="+mn-ea"/>
            <a:cs typeface="+mn-cs"/>
          </a:endParaRPr>
        </a:p>
      </xdr:txBody>
    </xdr:sp>
    <xdr:clientData/>
  </xdr:twoCellAnchor>
  <xdr:twoCellAnchor>
    <xdr:from>
      <xdr:col>2</xdr:col>
      <xdr:colOff>120651</xdr:colOff>
      <xdr:row>7</xdr:row>
      <xdr:rowOff>10886</xdr:rowOff>
    </xdr:from>
    <xdr:to>
      <xdr:col>4</xdr:col>
      <xdr:colOff>306133</xdr:colOff>
      <xdr:row>8</xdr:row>
      <xdr:rowOff>122237</xdr:rowOff>
    </xdr:to>
    <xdr:sp macro="" textlink="">
      <xdr:nvSpPr>
        <xdr:cNvPr id="4" name="TextBox 3">
          <a:extLst>
            <a:ext uri="{FF2B5EF4-FFF2-40B4-BE49-F238E27FC236}">
              <a16:creationId xmlns:a16="http://schemas.microsoft.com/office/drawing/2014/main" id="{15AC390A-F696-43ED-BB73-F8DA909764DA}"/>
            </a:ext>
          </a:extLst>
        </xdr:cNvPr>
        <xdr:cNvSpPr txBox="1"/>
      </xdr:nvSpPr>
      <xdr:spPr>
        <a:xfrm>
          <a:off x="1335089" y="1261042"/>
          <a:ext cx="1399919" cy="289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rgbClr val="0070C0"/>
              </a:solidFill>
              <a:latin typeface="Aptos" panose="020B0004020202020204" pitchFamily="34" charset="0"/>
            </a:rPr>
            <a:t>Total Capex</a:t>
          </a:r>
        </a:p>
      </xdr:txBody>
    </xdr:sp>
    <xdr:clientData/>
  </xdr:twoCellAnchor>
  <xdr:twoCellAnchor>
    <xdr:from>
      <xdr:col>5</xdr:col>
      <xdr:colOff>74454</xdr:colOff>
      <xdr:row>6</xdr:row>
      <xdr:rowOff>145573</xdr:rowOff>
    </xdr:from>
    <xdr:to>
      <xdr:col>7</xdr:col>
      <xdr:colOff>512287</xdr:colOff>
      <xdr:row>11</xdr:row>
      <xdr:rowOff>167005</xdr:rowOff>
    </xdr:to>
    <xdr:sp macro="" textlink="Pivot!B4">
      <xdr:nvSpPr>
        <xdr:cNvPr id="5" name="Rectangle: Rounded Corners 4">
          <a:extLst>
            <a:ext uri="{FF2B5EF4-FFF2-40B4-BE49-F238E27FC236}">
              <a16:creationId xmlns:a16="http://schemas.microsoft.com/office/drawing/2014/main" id="{4B38D7AE-957C-AC00-54A9-86EADED12BE3}"/>
            </a:ext>
          </a:extLst>
        </xdr:cNvPr>
        <xdr:cNvSpPr/>
      </xdr:nvSpPr>
      <xdr:spPr>
        <a:xfrm>
          <a:off x="3110548" y="1217136"/>
          <a:ext cx="1652270" cy="914400"/>
        </a:xfrm>
        <a:prstGeom prst="roundRect">
          <a:avLst>
            <a:gd name="adj" fmla="val 625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C92D291-967C-4C7C-9D9D-33B3D503B908}" type="TxLink">
            <a:rPr lang="en-US" sz="2000" b="1">
              <a:solidFill>
                <a:srgbClr val="0070C0"/>
              </a:solidFill>
              <a:latin typeface="+mn-lt"/>
              <a:ea typeface="+mn-ea"/>
              <a:cs typeface="+mn-cs"/>
            </a:rPr>
            <a:pPr marL="0" indent="0" algn="ctr"/>
            <a:t> € 1,324,000 </a:t>
          </a:fld>
          <a:endParaRPr lang="en-US" sz="2000" b="1">
            <a:solidFill>
              <a:srgbClr val="0070C0"/>
            </a:solidFill>
            <a:latin typeface="+mn-lt"/>
            <a:ea typeface="+mn-ea"/>
            <a:cs typeface="+mn-cs"/>
          </a:endParaRPr>
        </a:p>
      </xdr:txBody>
    </xdr:sp>
    <xdr:clientData/>
  </xdr:twoCellAnchor>
  <xdr:twoCellAnchor>
    <xdr:from>
      <xdr:col>8</xdr:col>
      <xdr:colOff>142558</xdr:colOff>
      <xdr:row>6</xdr:row>
      <xdr:rowOff>133509</xdr:rowOff>
    </xdr:from>
    <xdr:to>
      <xdr:col>10</xdr:col>
      <xdr:colOff>580390</xdr:colOff>
      <xdr:row>11</xdr:row>
      <xdr:rowOff>154941</xdr:rowOff>
    </xdr:to>
    <xdr:sp macro="" textlink="Pivot!D4">
      <xdr:nvSpPr>
        <xdr:cNvPr id="6" name="Rectangle: Rounded Corners 5">
          <a:extLst>
            <a:ext uri="{FF2B5EF4-FFF2-40B4-BE49-F238E27FC236}">
              <a16:creationId xmlns:a16="http://schemas.microsoft.com/office/drawing/2014/main" id="{1EED2521-1CD4-3470-DA9D-3240164F268D}"/>
            </a:ext>
          </a:extLst>
        </xdr:cNvPr>
        <xdr:cNvSpPr/>
      </xdr:nvSpPr>
      <xdr:spPr>
        <a:xfrm>
          <a:off x="5000308" y="1205072"/>
          <a:ext cx="1652270" cy="914400"/>
        </a:xfrm>
        <a:prstGeom prst="roundRect">
          <a:avLst>
            <a:gd name="adj" fmla="val 625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7492007-020A-4EE3-816C-CC52C1912753}" type="TxLink">
            <a:rPr lang="en-US" sz="2000" b="1">
              <a:solidFill>
                <a:srgbClr val="0070C0"/>
              </a:solidFill>
              <a:latin typeface="+mn-lt"/>
              <a:ea typeface="+mn-ea"/>
              <a:cs typeface="+mn-cs"/>
            </a:rPr>
            <a:pPr marL="0" indent="0" algn="ctr"/>
            <a:t> € 1,800,000 </a:t>
          </a:fld>
          <a:endParaRPr lang="en-US" sz="2000" b="1">
            <a:solidFill>
              <a:srgbClr val="0070C0"/>
            </a:solidFill>
            <a:latin typeface="+mn-lt"/>
            <a:ea typeface="+mn-ea"/>
            <a:cs typeface="+mn-cs"/>
          </a:endParaRPr>
        </a:p>
      </xdr:txBody>
    </xdr:sp>
    <xdr:clientData/>
  </xdr:twoCellAnchor>
  <xdr:twoCellAnchor>
    <xdr:from>
      <xdr:col>11</xdr:col>
      <xdr:colOff>220187</xdr:colOff>
      <xdr:row>6</xdr:row>
      <xdr:rowOff>123666</xdr:rowOff>
    </xdr:from>
    <xdr:to>
      <xdr:col>14</xdr:col>
      <xdr:colOff>53975</xdr:colOff>
      <xdr:row>11</xdr:row>
      <xdr:rowOff>145098</xdr:rowOff>
    </xdr:to>
    <xdr:sp macro="" textlink="Pivot!E4">
      <xdr:nvSpPr>
        <xdr:cNvPr id="7" name="Rectangle: Rounded Corners 6">
          <a:extLst>
            <a:ext uri="{FF2B5EF4-FFF2-40B4-BE49-F238E27FC236}">
              <a16:creationId xmlns:a16="http://schemas.microsoft.com/office/drawing/2014/main" id="{CC4D8A8F-8E50-B11E-93BC-29C19BD07B9D}"/>
            </a:ext>
          </a:extLst>
        </xdr:cNvPr>
        <xdr:cNvSpPr/>
      </xdr:nvSpPr>
      <xdr:spPr>
        <a:xfrm>
          <a:off x="6899593" y="1195229"/>
          <a:ext cx="1655445" cy="914400"/>
        </a:xfrm>
        <a:prstGeom prst="roundRect">
          <a:avLst>
            <a:gd name="adj" fmla="val 625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F7797C7-5DA9-47FB-91A2-CA8E614FB856}" type="TxLink">
            <a:rPr lang="en-US" sz="2000" b="1">
              <a:solidFill>
                <a:srgbClr val="0070C0"/>
              </a:solidFill>
              <a:latin typeface="+mn-lt"/>
              <a:ea typeface="+mn-ea"/>
              <a:cs typeface="+mn-cs"/>
            </a:rPr>
            <a:pPr marL="0" indent="0" algn="ctr"/>
            <a:t> € 476,000 </a:t>
          </a:fld>
          <a:endParaRPr lang="en-US" sz="2000" b="1">
            <a:solidFill>
              <a:srgbClr val="0070C0"/>
            </a:solidFill>
            <a:latin typeface="+mn-lt"/>
            <a:ea typeface="+mn-ea"/>
            <a:cs typeface="+mn-cs"/>
          </a:endParaRPr>
        </a:p>
      </xdr:txBody>
    </xdr:sp>
    <xdr:clientData/>
  </xdr:twoCellAnchor>
  <xdr:twoCellAnchor>
    <xdr:from>
      <xdr:col>14</xdr:col>
      <xdr:colOff>297815</xdr:colOff>
      <xdr:row>6</xdr:row>
      <xdr:rowOff>133029</xdr:rowOff>
    </xdr:from>
    <xdr:to>
      <xdr:col>17</xdr:col>
      <xdr:colOff>122079</xdr:colOff>
      <xdr:row>11</xdr:row>
      <xdr:rowOff>154461</xdr:rowOff>
    </xdr:to>
    <xdr:sp macro="" textlink="Pivot!F4">
      <xdr:nvSpPr>
        <xdr:cNvPr id="8" name="Rectangle: Rounded Corners 7">
          <a:extLst>
            <a:ext uri="{FF2B5EF4-FFF2-40B4-BE49-F238E27FC236}">
              <a16:creationId xmlns:a16="http://schemas.microsoft.com/office/drawing/2014/main" id="{EA9087E6-0B62-579C-5566-ACDC98594A1F}"/>
            </a:ext>
          </a:extLst>
        </xdr:cNvPr>
        <xdr:cNvSpPr/>
      </xdr:nvSpPr>
      <xdr:spPr>
        <a:xfrm>
          <a:off x="8798878" y="1204592"/>
          <a:ext cx="1645920" cy="914400"/>
        </a:xfrm>
        <a:prstGeom prst="roundRect">
          <a:avLst>
            <a:gd name="adj" fmla="val 625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463E67F-1799-4458-995B-0CD67F73899B}" type="TxLink">
            <a:rPr lang="en-US" sz="2000" b="1">
              <a:solidFill>
                <a:srgbClr val="0070C0"/>
              </a:solidFill>
              <a:latin typeface="+mn-lt"/>
              <a:ea typeface="+mn-ea"/>
              <a:cs typeface="+mn-cs"/>
            </a:rPr>
            <a:pPr marL="0" indent="0" algn="ctr"/>
            <a:t>30%</a:t>
          </a:fld>
          <a:endParaRPr lang="en-US" sz="2000" b="1">
            <a:solidFill>
              <a:srgbClr val="0070C0"/>
            </a:solidFill>
            <a:latin typeface="+mn-lt"/>
            <a:ea typeface="+mn-ea"/>
            <a:cs typeface="+mn-cs"/>
          </a:endParaRPr>
        </a:p>
      </xdr:txBody>
    </xdr:sp>
    <xdr:clientData/>
  </xdr:twoCellAnchor>
  <xdr:twoCellAnchor>
    <xdr:from>
      <xdr:col>17</xdr:col>
      <xdr:colOff>369094</xdr:colOff>
      <xdr:row>6</xdr:row>
      <xdr:rowOff>146049</xdr:rowOff>
    </xdr:from>
    <xdr:to>
      <xdr:col>20</xdr:col>
      <xdr:colOff>199708</xdr:colOff>
      <xdr:row>11</xdr:row>
      <xdr:rowOff>167481</xdr:rowOff>
    </xdr:to>
    <xdr:sp macro="" textlink="Pivot!G4">
      <xdr:nvSpPr>
        <xdr:cNvPr id="9" name="Rectangle: Rounded Corners 8">
          <a:extLst>
            <a:ext uri="{FF2B5EF4-FFF2-40B4-BE49-F238E27FC236}">
              <a16:creationId xmlns:a16="http://schemas.microsoft.com/office/drawing/2014/main" id="{933E0AA8-1B8B-8FE2-D9F7-DA74040BC869}"/>
            </a:ext>
          </a:extLst>
        </xdr:cNvPr>
        <xdr:cNvSpPr/>
      </xdr:nvSpPr>
      <xdr:spPr>
        <a:xfrm>
          <a:off x="10691813" y="1217612"/>
          <a:ext cx="1652270" cy="914400"/>
        </a:xfrm>
        <a:prstGeom prst="roundRect">
          <a:avLst>
            <a:gd name="adj" fmla="val 625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0C65DB9-633B-4D83-B6AB-8770160F523A}" type="TxLink">
            <a:rPr lang="en-US" sz="2000" b="1">
              <a:solidFill>
                <a:srgbClr val="0070C0"/>
              </a:solidFill>
              <a:latin typeface="+mn-lt"/>
              <a:ea typeface="+mn-ea"/>
              <a:cs typeface="+mn-cs"/>
            </a:rPr>
            <a:pPr marL="0" indent="0" algn="ctr"/>
            <a:t>15 Months</a:t>
          </a:fld>
          <a:endParaRPr lang="en-US" sz="2000" b="1">
            <a:solidFill>
              <a:srgbClr val="0070C0"/>
            </a:solidFill>
            <a:latin typeface="+mn-lt"/>
            <a:ea typeface="+mn-ea"/>
            <a:cs typeface="+mn-cs"/>
          </a:endParaRPr>
        </a:p>
      </xdr:txBody>
    </xdr:sp>
    <xdr:clientData/>
  </xdr:twoCellAnchor>
  <xdr:twoCellAnchor>
    <xdr:from>
      <xdr:col>5</xdr:col>
      <xdr:colOff>189706</xdr:colOff>
      <xdr:row>6</xdr:row>
      <xdr:rowOff>165032</xdr:rowOff>
    </xdr:from>
    <xdr:to>
      <xdr:col>7</xdr:col>
      <xdr:colOff>372013</xdr:colOff>
      <xdr:row>8</xdr:row>
      <xdr:rowOff>104140</xdr:rowOff>
    </xdr:to>
    <xdr:sp macro="" textlink="">
      <xdr:nvSpPr>
        <xdr:cNvPr id="10" name="TextBox 9">
          <a:extLst>
            <a:ext uri="{FF2B5EF4-FFF2-40B4-BE49-F238E27FC236}">
              <a16:creationId xmlns:a16="http://schemas.microsoft.com/office/drawing/2014/main" id="{F3B051DC-DA3A-DFCD-B51D-7AE23525ACD8}"/>
            </a:ext>
          </a:extLst>
        </xdr:cNvPr>
        <xdr:cNvSpPr txBox="1"/>
      </xdr:nvSpPr>
      <xdr:spPr>
        <a:xfrm>
          <a:off x="3225800" y="1236595"/>
          <a:ext cx="1396744" cy="296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rgbClr val="0070C0"/>
              </a:solidFill>
              <a:latin typeface="Aptos" panose="020B0004020202020204" pitchFamily="34" charset="0"/>
              <a:ea typeface="+mn-ea"/>
              <a:cs typeface="+mn-cs"/>
            </a:rPr>
            <a:t>Total</a:t>
          </a:r>
          <a:r>
            <a:rPr lang="en-US" sz="1200" b="1" i="1">
              <a:solidFill>
                <a:schemeClr val="bg1"/>
              </a:solidFill>
              <a:latin typeface="Aptos" panose="020B0004020202020204" pitchFamily="34" charset="0"/>
            </a:rPr>
            <a:t> </a:t>
          </a:r>
          <a:r>
            <a:rPr lang="en-US" sz="1200" b="1" i="1">
              <a:solidFill>
                <a:srgbClr val="0070C0"/>
              </a:solidFill>
              <a:latin typeface="Aptos" panose="020B0004020202020204" pitchFamily="34" charset="0"/>
            </a:rPr>
            <a:t>Opex</a:t>
          </a:r>
        </a:p>
      </xdr:txBody>
    </xdr:sp>
    <xdr:clientData/>
  </xdr:twoCellAnchor>
  <xdr:twoCellAnchor>
    <xdr:from>
      <xdr:col>8</xdr:col>
      <xdr:colOff>294482</xdr:colOff>
      <xdr:row>6</xdr:row>
      <xdr:rowOff>155665</xdr:rowOff>
    </xdr:from>
    <xdr:to>
      <xdr:col>10</xdr:col>
      <xdr:colOff>473613</xdr:colOff>
      <xdr:row>8</xdr:row>
      <xdr:rowOff>97948</xdr:rowOff>
    </xdr:to>
    <xdr:sp macro="" textlink="">
      <xdr:nvSpPr>
        <xdr:cNvPr id="11" name="TextBox 10">
          <a:extLst>
            <a:ext uri="{FF2B5EF4-FFF2-40B4-BE49-F238E27FC236}">
              <a16:creationId xmlns:a16="http://schemas.microsoft.com/office/drawing/2014/main" id="{925F83FD-CC77-A423-00A4-98AA80F4D1B1}"/>
            </a:ext>
          </a:extLst>
        </xdr:cNvPr>
        <xdr:cNvSpPr txBox="1"/>
      </xdr:nvSpPr>
      <xdr:spPr>
        <a:xfrm>
          <a:off x="5152232" y="1227228"/>
          <a:ext cx="1393569" cy="299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rgbClr val="0070C0"/>
              </a:solidFill>
              <a:latin typeface="Aptos" panose="020B0004020202020204" pitchFamily="34" charset="0"/>
            </a:rPr>
            <a:t>Total Revenue</a:t>
          </a:r>
        </a:p>
      </xdr:txBody>
    </xdr:sp>
    <xdr:clientData/>
  </xdr:twoCellAnchor>
  <xdr:twoCellAnchor>
    <xdr:from>
      <xdr:col>11</xdr:col>
      <xdr:colOff>378620</xdr:colOff>
      <xdr:row>6</xdr:row>
      <xdr:rowOff>148997</xdr:rowOff>
    </xdr:from>
    <xdr:to>
      <xdr:col>13</xdr:col>
      <xdr:colOff>554576</xdr:colOff>
      <xdr:row>8</xdr:row>
      <xdr:rowOff>91280</xdr:rowOff>
    </xdr:to>
    <xdr:sp macro="" textlink="">
      <xdr:nvSpPr>
        <xdr:cNvPr id="12" name="TextBox 11">
          <a:extLst>
            <a:ext uri="{FF2B5EF4-FFF2-40B4-BE49-F238E27FC236}">
              <a16:creationId xmlns:a16="http://schemas.microsoft.com/office/drawing/2014/main" id="{6F1351C3-8B78-7A9F-D39D-ADF6410CBD7C}"/>
            </a:ext>
          </a:extLst>
        </xdr:cNvPr>
        <xdr:cNvSpPr txBox="1"/>
      </xdr:nvSpPr>
      <xdr:spPr>
        <a:xfrm>
          <a:off x="7058026" y="1220560"/>
          <a:ext cx="1390394" cy="299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rgbClr val="0070C0"/>
              </a:solidFill>
              <a:latin typeface="Aptos" panose="020B0004020202020204" pitchFamily="34" charset="0"/>
            </a:rPr>
            <a:t>Net</a:t>
          </a:r>
          <a:r>
            <a:rPr lang="en-US" sz="1200" b="1" i="1" baseline="0">
              <a:solidFill>
                <a:srgbClr val="0070C0"/>
              </a:solidFill>
              <a:latin typeface="Aptos" panose="020B0004020202020204" pitchFamily="34" charset="0"/>
            </a:rPr>
            <a:t> Profit</a:t>
          </a:r>
          <a:endParaRPr lang="en-US" sz="1200" b="1" i="1">
            <a:solidFill>
              <a:srgbClr val="0070C0"/>
            </a:solidFill>
            <a:latin typeface="Aptos" panose="020B0004020202020204" pitchFamily="34" charset="0"/>
          </a:endParaRPr>
        </a:p>
      </xdr:txBody>
    </xdr:sp>
    <xdr:clientData/>
  </xdr:twoCellAnchor>
  <xdr:twoCellAnchor>
    <xdr:from>
      <xdr:col>14</xdr:col>
      <xdr:colOff>417513</xdr:colOff>
      <xdr:row>6</xdr:row>
      <xdr:rowOff>162969</xdr:rowOff>
    </xdr:from>
    <xdr:to>
      <xdr:col>16</xdr:col>
      <xdr:colOff>599820</xdr:colOff>
      <xdr:row>9</xdr:row>
      <xdr:rowOff>95250</xdr:rowOff>
    </xdr:to>
    <xdr:sp macro="" textlink="">
      <xdr:nvSpPr>
        <xdr:cNvPr id="13" name="TextBox 12">
          <a:extLst>
            <a:ext uri="{FF2B5EF4-FFF2-40B4-BE49-F238E27FC236}">
              <a16:creationId xmlns:a16="http://schemas.microsoft.com/office/drawing/2014/main" id="{1869A8C9-91D7-8171-5E02-A27E9235E354}"/>
            </a:ext>
          </a:extLst>
        </xdr:cNvPr>
        <xdr:cNvSpPr txBox="1"/>
      </xdr:nvSpPr>
      <xdr:spPr>
        <a:xfrm>
          <a:off x="8918576" y="1234532"/>
          <a:ext cx="1396744" cy="468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rgbClr val="0070C0"/>
              </a:solidFill>
              <a:latin typeface="Aptos" panose="020B0004020202020204" pitchFamily="34" charset="0"/>
            </a:rPr>
            <a:t>Return On </a:t>
          </a:r>
          <a:r>
            <a:rPr lang="en-US" sz="1200" b="1" i="1">
              <a:solidFill>
                <a:schemeClr val="bg1"/>
              </a:solidFill>
              <a:latin typeface="Aptos" panose="020B0004020202020204" pitchFamily="34" charset="0"/>
            </a:rPr>
            <a:t>Investment</a:t>
          </a:r>
        </a:p>
      </xdr:txBody>
    </xdr:sp>
    <xdr:clientData/>
  </xdr:twoCellAnchor>
  <xdr:twoCellAnchor>
    <xdr:from>
      <xdr:col>17</xdr:col>
      <xdr:colOff>504826</xdr:colOff>
      <xdr:row>6</xdr:row>
      <xdr:rowOff>162333</xdr:rowOff>
    </xdr:from>
    <xdr:to>
      <xdr:col>20</xdr:col>
      <xdr:colOff>76739</xdr:colOff>
      <xdr:row>8</xdr:row>
      <xdr:rowOff>88741</xdr:rowOff>
    </xdr:to>
    <xdr:sp macro="" textlink="">
      <xdr:nvSpPr>
        <xdr:cNvPr id="14" name="TextBox 13">
          <a:extLst>
            <a:ext uri="{FF2B5EF4-FFF2-40B4-BE49-F238E27FC236}">
              <a16:creationId xmlns:a16="http://schemas.microsoft.com/office/drawing/2014/main" id="{9665A4CD-5150-3E5B-AD84-A39D72820C8A}"/>
            </a:ext>
          </a:extLst>
        </xdr:cNvPr>
        <xdr:cNvSpPr txBox="1"/>
      </xdr:nvSpPr>
      <xdr:spPr>
        <a:xfrm>
          <a:off x="10827545" y="1233896"/>
          <a:ext cx="1393569" cy="283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rgbClr val="0070C0"/>
              </a:solidFill>
              <a:latin typeface="Aptos" panose="020B0004020202020204" pitchFamily="34" charset="0"/>
            </a:rPr>
            <a:t>Breakeven</a:t>
          </a:r>
        </a:p>
      </xdr:txBody>
    </xdr:sp>
    <xdr:clientData/>
  </xdr:twoCellAnchor>
  <xdr:twoCellAnchor>
    <xdr:from>
      <xdr:col>2</xdr:col>
      <xdr:colOff>-1</xdr:colOff>
      <xdr:row>13</xdr:row>
      <xdr:rowOff>0</xdr:rowOff>
    </xdr:from>
    <xdr:to>
      <xdr:col>10</xdr:col>
      <xdr:colOff>559592</xdr:colOff>
      <xdr:row>28</xdr:row>
      <xdr:rowOff>16669</xdr:rowOff>
    </xdr:to>
    <xdr:graphicFrame macro="">
      <xdr:nvGraphicFramePr>
        <xdr:cNvPr id="15" name="Chart 14">
          <a:extLst>
            <a:ext uri="{FF2B5EF4-FFF2-40B4-BE49-F238E27FC236}">
              <a16:creationId xmlns:a16="http://schemas.microsoft.com/office/drawing/2014/main" id="{78805F03-9531-45C4-9296-B1E7A9885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29</xdr:row>
      <xdr:rowOff>0</xdr:rowOff>
    </xdr:from>
    <xdr:to>
      <xdr:col>10</xdr:col>
      <xdr:colOff>523874</xdr:colOff>
      <xdr:row>44</xdr:row>
      <xdr:rowOff>16669</xdr:rowOff>
    </xdr:to>
    <xdr:graphicFrame macro="">
      <xdr:nvGraphicFramePr>
        <xdr:cNvPr id="16" name="Chart 15">
          <a:extLst>
            <a:ext uri="{FF2B5EF4-FFF2-40B4-BE49-F238E27FC236}">
              <a16:creationId xmlns:a16="http://schemas.microsoft.com/office/drawing/2014/main" id="{CA0C6090-DF4D-4476-BE8F-C15528F52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202405</xdr:colOff>
      <xdr:row>13</xdr:row>
      <xdr:rowOff>0</xdr:rowOff>
    </xdr:from>
    <xdr:to>
      <xdr:col>20</xdr:col>
      <xdr:colOff>199229</xdr:colOff>
      <xdr:row>28</xdr:row>
      <xdr:rowOff>16669</xdr:rowOff>
    </xdr:to>
    <xdr:graphicFrame macro="">
      <xdr:nvGraphicFramePr>
        <xdr:cNvPr id="17" name="Chart 16">
          <a:extLst>
            <a:ext uri="{FF2B5EF4-FFF2-40B4-BE49-F238E27FC236}">
              <a16:creationId xmlns:a16="http://schemas.microsoft.com/office/drawing/2014/main" id="{8F912B09-B266-438F-A73B-15B798782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202406</xdr:colOff>
      <xdr:row>29</xdr:row>
      <xdr:rowOff>0</xdr:rowOff>
    </xdr:from>
    <xdr:to>
      <xdr:col>20</xdr:col>
      <xdr:colOff>190500</xdr:colOff>
      <xdr:row>44</xdr:row>
      <xdr:rowOff>16669</xdr:rowOff>
    </xdr:to>
    <xdr:graphicFrame macro="">
      <xdr:nvGraphicFramePr>
        <xdr:cNvPr id="18" name="Chart 17">
          <a:extLst>
            <a:ext uri="{FF2B5EF4-FFF2-40B4-BE49-F238E27FC236}">
              <a16:creationId xmlns:a16="http://schemas.microsoft.com/office/drawing/2014/main" id="{7686EACC-7964-4B32-9BFD-A72BCD3F0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3167</xdr:colOff>
      <xdr:row>1</xdr:row>
      <xdr:rowOff>56354</xdr:rowOff>
    </xdr:from>
    <xdr:to>
      <xdr:col>16</xdr:col>
      <xdr:colOff>118262</xdr:colOff>
      <xdr:row>4</xdr:row>
      <xdr:rowOff>177798</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2D33699D-A32D-408B-8ABE-FA5793BB489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04230" y="234948"/>
              <a:ext cx="1332707" cy="661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98.808712268517" createdVersion="8" refreshedVersion="8" minRefreshableVersion="3" recordCount="13" xr:uid="{F6402EB5-BC95-4587-89FD-8F92E70ABA0D}">
  <cacheSource type="worksheet">
    <worksheetSource name="Data"/>
  </cacheSource>
  <cacheFields count="11">
    <cacheField name="Year" numFmtId="0">
      <sharedItems count="2">
        <s v="2026"/>
        <s v="2027"/>
      </sharedItems>
    </cacheField>
    <cacheField name="Capex Items" numFmtId="166">
      <sharedItems containsBlank="1" count="7">
        <m/>
        <s v="Initial Setup"/>
        <s v="Logistics"/>
        <s v="IT Infrastructure"/>
        <s v="Legal &amp; Licensing"/>
        <s v="Contingency Fund"/>
        <s v="Inventory (initial)" u="1"/>
      </sharedItems>
    </cacheField>
    <cacheField name="Capex" numFmtId="166">
      <sharedItems containsString="0" containsBlank="1" containsNumber="1" containsInteger="1" minValue="10000" maxValue="250000"/>
    </cacheField>
    <cacheField name="Opex Items" numFmtId="166">
      <sharedItems containsBlank="1" count="6">
        <m/>
        <s v="Inventory"/>
        <s v="Rent "/>
        <s v="Salaries "/>
        <s v="Marketing "/>
        <s v="Utilities "/>
      </sharedItems>
    </cacheField>
    <cacheField name="Opex" numFmtId="166">
      <sharedItems containsString="0" containsBlank="1" containsNumber="1" containsInteger="1" minValue="48000" maxValue="360000"/>
    </cacheField>
    <cacheField name="Total Cost" numFmtId="166">
      <sharedItems containsString="0" containsBlank="1" containsNumber="1" containsInteger="1" minValue="662000" maxValue="967000"/>
    </cacheField>
    <cacheField name="Total Revenue" numFmtId="166">
      <sharedItems containsString="0" containsBlank="1" containsNumber="1" containsInteger="1" minValue="900000" maxValue="900000"/>
    </cacheField>
    <cacheField name="Net Profit" numFmtId="166">
      <sharedItems containsString="0" containsBlank="1" containsNumber="1" containsInteger="1" minValue="238000" maxValue="238000"/>
    </cacheField>
    <cacheField name="Profit Margin" numFmtId="0">
      <sharedItems containsString="0" containsBlank="1" containsNumber="1" minValue="0.26444444444444443" maxValue="0.26444444444444443"/>
    </cacheField>
    <cacheField name="ROI" numFmtId="0">
      <sharedItems containsString="0" containsBlank="1" containsNumber="1" minValue="0.24612202688728024" maxValue="0.3595166163141994"/>
    </cacheField>
    <cacheField name="Breakeven Time" numFmtId="0">
      <sharedItems containsString="0" containsBlank="1" containsNumber="1" minValue="15.378151260504202" maxValue="15.378151260504202"/>
    </cacheField>
  </cacheFields>
  <extLst>
    <ext xmlns:x14="http://schemas.microsoft.com/office/spreadsheetml/2009/9/main" uri="{725AE2AE-9491-48be-B2B4-4EB974FC3084}">
      <x14:pivotCacheDefinition pivotCacheId="1990219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m/>
    <x v="0"/>
    <m/>
    <n v="967000"/>
    <n v="900000"/>
    <n v="238000"/>
    <n v="0.26444444444444443"/>
    <n v="0.24612202688728024"/>
    <n v="15.378151260504202"/>
  </r>
  <r>
    <x v="1"/>
    <x v="0"/>
    <m/>
    <x v="0"/>
    <m/>
    <n v="662000"/>
    <n v="900000"/>
    <n v="238000"/>
    <n v="0.26444444444444443"/>
    <n v="0.3595166163141994"/>
    <n v="15.378151260504202"/>
  </r>
  <r>
    <x v="0"/>
    <x v="1"/>
    <n v="250000"/>
    <x v="0"/>
    <m/>
    <m/>
    <m/>
    <m/>
    <m/>
    <m/>
    <m/>
  </r>
  <r>
    <x v="0"/>
    <x v="2"/>
    <n v="15000"/>
    <x v="1"/>
    <n v="50000"/>
    <m/>
    <m/>
    <m/>
    <m/>
    <m/>
    <m/>
  </r>
  <r>
    <x v="0"/>
    <x v="3"/>
    <n v="20000"/>
    <x v="2"/>
    <n v="144000"/>
    <m/>
    <m/>
    <m/>
    <m/>
    <m/>
    <m/>
  </r>
  <r>
    <x v="0"/>
    <x v="4"/>
    <n v="10000"/>
    <x v="3"/>
    <n v="360000"/>
    <m/>
    <m/>
    <m/>
    <m/>
    <m/>
    <m/>
  </r>
  <r>
    <x v="0"/>
    <x v="5"/>
    <n v="10000"/>
    <x v="4"/>
    <n v="60000"/>
    <m/>
    <m/>
    <m/>
    <m/>
    <m/>
    <m/>
  </r>
  <r>
    <x v="0"/>
    <x v="0"/>
    <m/>
    <x v="5"/>
    <n v="48000"/>
    <m/>
    <m/>
    <m/>
    <m/>
    <m/>
    <m/>
  </r>
  <r>
    <x v="1"/>
    <x v="0"/>
    <m/>
    <x v="1"/>
    <n v="50000"/>
    <m/>
    <m/>
    <m/>
    <m/>
    <m/>
    <m/>
  </r>
  <r>
    <x v="1"/>
    <x v="0"/>
    <m/>
    <x v="2"/>
    <n v="144000"/>
    <m/>
    <m/>
    <m/>
    <m/>
    <m/>
    <m/>
  </r>
  <r>
    <x v="1"/>
    <x v="0"/>
    <m/>
    <x v="3"/>
    <n v="360000"/>
    <m/>
    <m/>
    <m/>
    <m/>
    <m/>
    <m/>
  </r>
  <r>
    <x v="1"/>
    <x v="0"/>
    <m/>
    <x v="4"/>
    <n v="60000"/>
    <m/>
    <m/>
    <m/>
    <m/>
    <m/>
    <m/>
  </r>
  <r>
    <x v="1"/>
    <x v="0"/>
    <m/>
    <x v="5"/>
    <n v="4800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F98D9A-50C9-45EA-82CD-D274BBF042A6}" name="RO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Year">
  <location ref="D14:F17" firstHeaderRow="0" firstDataRow="1" firstDataCol="1"/>
  <pivotFields count="11">
    <pivotField axis="axisRow" showAll="0">
      <items count="3">
        <item x="0"/>
        <item x="1"/>
        <item t="default"/>
      </items>
    </pivotField>
    <pivotField showAll="0"/>
    <pivotField showAll="0"/>
    <pivotField showAll="0"/>
    <pivotField showAll="0"/>
    <pivotField numFmtId="166" showAll="0"/>
    <pivotField numFmtId="166" showAll="0"/>
    <pivotField numFmtId="166" showAll="0"/>
    <pivotField dataField="1" showAll="0"/>
    <pivotField dataField="1" showAll="0"/>
    <pivotField numFmtId="43" showAll="0"/>
  </pivotFields>
  <rowFields count="1">
    <field x="0"/>
  </rowFields>
  <rowItems count="3">
    <i>
      <x/>
    </i>
    <i>
      <x v="1"/>
    </i>
    <i t="grand">
      <x/>
    </i>
  </rowItems>
  <colFields count="1">
    <field x="-2"/>
  </colFields>
  <colItems count="2">
    <i>
      <x/>
    </i>
    <i i="1">
      <x v="1"/>
    </i>
  </colItems>
  <dataFields count="2">
    <dataField name="Profit Margin %" fld="8" baseField="0" baseItem="0"/>
    <dataField name="ROI %" fld="9" baseField="0" baseItem="0"/>
  </dataFields>
  <formats count="7">
    <format dxfId="40">
      <pivotArea outline="0" collapsedLevelsAreSubtotals="1" fieldPosition="0"/>
    </format>
    <format dxfId="39">
      <pivotArea collapsedLevelsAreSubtotals="1" fieldPosition="0">
        <references count="1">
          <reference field="0" count="0"/>
        </references>
      </pivotArea>
    </format>
    <format dxfId="38">
      <pivotArea grandRow="1" outline="0" collapsedLevelsAreSubtotals="1" fieldPosition="0"/>
    </format>
    <format dxfId="26">
      <pivotArea field="0" type="button" dataOnly="0" labelOnly="1" outline="0" axis="axisRow" fieldPosition="0"/>
    </format>
    <format dxfId="25">
      <pivotArea dataOnly="0" labelOnly="1" outline="0" fieldPosition="0">
        <references count="1">
          <reference field="4294967294" count="2">
            <x v="0"/>
            <x v="1"/>
          </reference>
        </references>
      </pivotArea>
    </format>
    <format dxfId="24">
      <pivotArea grandRow="1" outline="0" collapsedLevelsAreSubtotals="1" fieldPosition="0"/>
    </format>
    <format dxfId="23">
      <pivotArea dataOnly="0" labelOnly="1" grandRow="1" outline="0" fieldPosition="0"/>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4965FF-41FD-486F-AAB9-3CE8B638103D}" name="Opera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ear">
  <location ref="D7:G10" firstHeaderRow="0" firstDataRow="1" firstDataCol="1"/>
  <pivotFields count="11">
    <pivotField axis="axisRow" showAll="0">
      <items count="3">
        <item x="0"/>
        <item x="1"/>
        <item t="default"/>
      </items>
    </pivotField>
    <pivotField showAll="0"/>
    <pivotField showAll="0"/>
    <pivotField showAll="0"/>
    <pivotField dataField="1" showAll="0"/>
    <pivotField numFmtId="166" showAll="0"/>
    <pivotField dataField="1" numFmtId="166" showAll="0"/>
    <pivotField dataField="1" numFmtId="166" showAll="0"/>
    <pivotField showAll="0"/>
    <pivotField showAll="0"/>
    <pivotField numFmtId="43" showAll="0"/>
  </pivotFields>
  <rowFields count="1">
    <field x="0"/>
  </rowFields>
  <rowItems count="3">
    <i>
      <x/>
    </i>
    <i>
      <x v="1"/>
    </i>
    <i t="grand">
      <x/>
    </i>
  </rowItems>
  <colFields count="1">
    <field x="-2"/>
  </colFields>
  <colItems count="3">
    <i>
      <x/>
    </i>
    <i i="1">
      <x v="1"/>
    </i>
    <i i="2">
      <x v="2"/>
    </i>
  </colItems>
  <dataFields count="3">
    <dataField name="Op. Exp" fld="4" baseField="0" baseItem="0"/>
    <dataField name="Revenue" fld="6" baseField="0" baseItem="0" numFmtId="166"/>
    <dataField name="Profit" fld="7" baseField="0" baseItem="0" numFmtId="166"/>
  </dataFields>
  <formats count="5">
    <format dxfId="41">
      <pivotArea outline="0" collapsedLevelsAreSubtotals="1" fieldPosition="0"/>
    </format>
    <format dxfId="32">
      <pivotArea field="0" type="button" dataOnly="0" labelOnly="1" outline="0" axis="axisRow" fieldPosition="0"/>
    </format>
    <format dxfId="31">
      <pivotArea dataOnly="0" labelOnly="1" outline="0" fieldPosition="0">
        <references count="1">
          <reference field="4294967294" count="3">
            <x v="0"/>
            <x v="1"/>
            <x v="2"/>
          </reference>
        </references>
      </pivotArea>
    </format>
    <format dxfId="30">
      <pivotArea grandRow="1" outline="0" collapsedLevelsAreSubtotals="1" fieldPosition="0"/>
    </format>
    <format dxfId="29">
      <pivotArea dataOnly="0" labelOnly="1" grandRow="1" outline="0" fieldPosition="0"/>
    </format>
  </formats>
  <chartFormats count="3">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EF496A-5E55-48E4-A649-B0BDE0768C21}" name="Ope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pex Items">
  <location ref="A17:B23" firstHeaderRow="1" firstDataRow="1" firstDataCol="1"/>
  <pivotFields count="11">
    <pivotField showAll="0">
      <items count="3">
        <item x="0"/>
        <item x="1"/>
        <item t="default"/>
      </items>
    </pivotField>
    <pivotField showAll="0"/>
    <pivotField showAll="0"/>
    <pivotField axis="axisRow" showAll="0">
      <items count="7">
        <item x="4"/>
        <item x="2"/>
        <item x="3"/>
        <item x="5"/>
        <item h="1" x="0"/>
        <item x="1"/>
        <item t="default"/>
      </items>
    </pivotField>
    <pivotField dataField="1" showAll="0"/>
    <pivotField numFmtId="166" showAll="0"/>
    <pivotField numFmtId="166" showAll="0"/>
    <pivotField numFmtId="166" showAll="0"/>
    <pivotField showAll="0"/>
    <pivotField showAll="0"/>
    <pivotField numFmtId="43" showAll="0"/>
  </pivotFields>
  <rowFields count="1">
    <field x="3"/>
  </rowFields>
  <rowItems count="6">
    <i>
      <x/>
    </i>
    <i>
      <x v="1"/>
    </i>
    <i>
      <x v="2"/>
    </i>
    <i>
      <x v="3"/>
    </i>
    <i>
      <x v="5"/>
    </i>
    <i t="grand">
      <x/>
    </i>
  </rowItems>
  <colItems count="1">
    <i/>
  </colItems>
  <dataFields count="1">
    <dataField name="Sum of Opex" fld="4" baseField="0" baseItem="0"/>
  </dataFields>
  <formats count="5">
    <format dxfId="42">
      <pivotArea outline="0" collapsedLevelsAreSubtotals="1" fieldPosition="0"/>
    </format>
    <format dxfId="22">
      <pivotArea field="3" type="button" dataOnly="0" labelOnly="1" outline="0" axis="axisRow" fieldPosition="0"/>
    </format>
    <format dxfId="21">
      <pivotArea dataOnly="0" labelOnly="1" outline="0" axis="axisValues" fieldPosition="0"/>
    </format>
    <format dxfId="19">
      <pivotArea grandRow="1" outline="0" collapsedLevelsAreSubtotals="1" fieldPosition="0"/>
    </format>
    <format dxfId="18">
      <pivotArea dataOnly="0" labelOnly="1" grandRow="1" outline="0" fieldPosition="0"/>
    </format>
  </format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 chart="3" format="1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B42208-DA9C-4400-87A0-C2F4E3456344}" name="Capex" cacheId="0" applyNumberFormats="0" applyBorderFormats="0" applyFontFormats="0" applyPatternFormats="0" applyAlignmentFormats="0" applyWidthHeightFormats="1" dataCaption="Values" grandTotalCaption="Total Capex" updatedVersion="8" minRefreshableVersion="3" useAutoFormatting="1" itemPrintTitles="1" createdVersion="8" indent="0" outline="1" outlineData="1" multipleFieldFilters="0" chartFormat="21" rowHeaderCaption="Capex Items">
  <location ref="A7:B13" firstHeaderRow="1" firstDataRow="1" firstDataCol="1"/>
  <pivotFields count="11">
    <pivotField showAll="0">
      <items count="3">
        <item x="0"/>
        <item x="1"/>
        <item t="default"/>
      </items>
    </pivotField>
    <pivotField axis="axisRow" showAll="0" sortType="ascending">
      <items count="8">
        <item x="5"/>
        <item x="1"/>
        <item m="1" x="6"/>
        <item x="3"/>
        <item x="4"/>
        <item x="2"/>
        <item h="1"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66" showAll="0"/>
    <pivotField numFmtId="166" showAll="0"/>
    <pivotField numFmtId="166" showAll="0"/>
    <pivotField showAll="0"/>
    <pivotField showAll="0"/>
    <pivotField numFmtId="43" showAll="0"/>
  </pivotFields>
  <rowFields count="1">
    <field x="1"/>
  </rowFields>
  <rowItems count="6">
    <i>
      <x/>
    </i>
    <i>
      <x v="4"/>
    </i>
    <i>
      <x v="5"/>
    </i>
    <i>
      <x v="3"/>
    </i>
    <i>
      <x v="1"/>
    </i>
    <i t="grand">
      <x/>
    </i>
  </rowItems>
  <colItems count="1">
    <i/>
  </colItems>
  <dataFields count="1">
    <dataField name="Sum of Capex" fld="2" baseField="0" baseItem="0"/>
  </dataFields>
  <formats count="5">
    <format dxfId="43">
      <pivotArea outline="0" collapsedLevelsAreSubtotals="1" fieldPosition="0"/>
    </format>
    <format dxfId="35">
      <pivotArea field="1" type="button" dataOnly="0" labelOnly="1" outline="0" axis="axisRow" fieldPosition="0"/>
    </format>
    <format dxfId="34">
      <pivotArea dataOnly="0" labelOnly="1" outline="0" axis="axisValues" fieldPosition="0"/>
    </format>
    <format dxfId="28">
      <pivotArea grandRow="1" outline="0" collapsedLevelsAreSubtotals="1" fieldPosition="0"/>
    </format>
    <format dxfId="27">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DBB708-82F9-4F62-A1ED-CB5E224D563E}"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4" firstHeaderRow="0" firstDataRow="1" firstDataCol="0"/>
  <pivotFields count="11">
    <pivotField showAll="0">
      <items count="3">
        <item x="0"/>
        <item x="1"/>
        <item t="default"/>
      </items>
    </pivotField>
    <pivotField showAll="0"/>
    <pivotField dataField="1" showAll="0"/>
    <pivotField showAll="0"/>
    <pivotField dataField="1" showAll="0"/>
    <pivotField dataField="1" numFmtId="166" showAll="0"/>
    <pivotField dataField="1" numFmtId="166" showAll="0"/>
    <pivotField dataField="1" numFmtId="166" showAll="0"/>
    <pivotField dataField="1" showAll="0"/>
    <pivotField dataField="1" showAll="0"/>
    <pivotField dataField="1" numFmtId="43" showAll="0"/>
  </pivotFields>
  <rowItems count="1">
    <i/>
  </rowItems>
  <colFields count="1">
    <field x="-2"/>
  </colFields>
  <colItems count="8">
    <i>
      <x/>
    </i>
    <i i="1">
      <x v="1"/>
    </i>
    <i i="2">
      <x v="2"/>
    </i>
    <i i="3">
      <x v="3"/>
    </i>
    <i i="4">
      <x v="4"/>
    </i>
    <i i="5">
      <x v="5"/>
    </i>
    <i i="6">
      <x v="6"/>
    </i>
    <i i="7">
      <x v="7"/>
    </i>
  </colItems>
  <dataFields count="8">
    <dataField name="Sum of Capex" fld="2" baseField="0" baseItem="0" numFmtId="166"/>
    <dataField name="Sum of Opex" fld="4" baseField="0" baseItem="0" numFmtId="166"/>
    <dataField name="Sum of Total Cost" fld="5" baseField="0" baseItem="0" numFmtId="166"/>
    <dataField name="Sum of Total Revenue" fld="6" baseField="0" baseItem="0" numFmtId="166"/>
    <dataField name="Sum of Net Profit" fld="7" baseField="0" baseItem="0" numFmtId="166"/>
    <dataField name="Avg. ROI" fld="9" subtotal="average" baseField="0" baseItem="1" numFmtId="9"/>
    <dataField name="Breakeven" fld="10" subtotal="average" baseField="0" baseItem="1" numFmtId="168"/>
    <dataField name="Net Profit Margin" fld="8" subtotal="average" baseField="0" baseItem="6" numFmtId="9"/>
  </dataFields>
  <formats count="6">
    <format dxfId="47">
      <pivotArea outline="0" collapsedLevelsAreSubtotals="1" fieldPosition="0">
        <references count="1">
          <reference field="4294967294" count="2" selected="0">
            <x v="0"/>
            <x v="1"/>
          </reference>
        </references>
      </pivotArea>
    </format>
    <format dxfId="46">
      <pivotArea outline="0" collapsedLevelsAreSubtotals="1" fieldPosition="0">
        <references count="1">
          <reference field="4294967294" count="1" selected="0">
            <x v="5"/>
          </reference>
        </references>
      </pivotArea>
    </format>
    <format dxfId="45">
      <pivotArea outline="0" collapsedLevelsAreSubtotals="1" fieldPosition="0">
        <references count="1">
          <reference field="4294967294" count="1" selected="0">
            <x v="7"/>
          </reference>
        </references>
      </pivotArea>
    </format>
    <format dxfId="44">
      <pivotArea outline="0" collapsedLevelsAreSubtotals="1" fieldPosition="0">
        <references count="1">
          <reference field="4294967294" count="1" selected="0">
            <x v="6"/>
          </reference>
        </references>
      </pivotArea>
    </format>
    <format dxfId="37">
      <pivotArea dataOnly="0" labelOnly="1" outline="0" fieldPosition="0">
        <references count="1">
          <reference field="4294967294" count="8">
            <x v="0"/>
            <x v="1"/>
            <x v="2"/>
            <x v="3"/>
            <x v="4"/>
            <x v="5"/>
            <x v="6"/>
            <x v="7"/>
          </reference>
        </references>
      </pivotArea>
    </format>
    <format dxfId="36">
      <pivotArea dataOnly="0" labelOnly="1" outline="0" fieldPosition="0">
        <references count="1">
          <reference field="4294967294" count="8">
            <x v="0"/>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E68256C-183B-455F-A9A4-85AB1ACFE443}" sourceName="Year">
  <pivotTables>
    <pivotTable tabId="12" name="Operations"/>
    <pivotTable tabId="12" name="Capex"/>
    <pivotTable tabId="12" name="KPI"/>
    <pivotTable tabId="12" name="Opex"/>
    <pivotTable tabId="12" name="ROI"/>
  </pivotTables>
  <data>
    <tabular pivotCacheId="199021945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62CCD22-164B-4723-8F45-45EA30B605BA}" cache="Slicer_Year" caption="Year"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3B26D5-AB21-46B4-9921-47764677448D}" name="Table2" displayName="Table2" ref="A1:G73" totalsRowShown="0" dataDxfId="67" dataCellStyle="Comma">
  <autoFilter ref="A1:G73" xr:uid="{0C3B26D5-AB21-46B4-9921-47764677448D}"/>
  <tableColumns count="7">
    <tableColumn id="1" xr3:uid="{6104C676-39EA-4D61-BC18-61C2CED017E2}" name="Month" dataDxfId="66"/>
    <tableColumn id="2" xr3:uid="{E4725071-8510-4B0B-BE3B-938C269169BA}" name="Scenario"/>
    <tableColumn id="3" xr3:uid="{03CEDF03-2690-471E-9AE9-F1DF831D5934}" name="Projected_Customers" dataDxfId="65" dataCellStyle="Comma"/>
    <tableColumn id="4" xr3:uid="{1F4E41CC-A7C9-4B16-BAA7-3CBE23719286}" name="Avg_Basket_EUR" dataDxfId="64" dataCellStyle="Comma"/>
    <tableColumn id="5" xr3:uid="{D5BA6234-EC8A-4F08-8785-D9AC3BF8B648}" name="Revenue_EUR" dataDxfId="63" dataCellStyle="Comma"/>
    <tableColumn id="6" xr3:uid="{4E2C99D6-D9E6-44FF-92B7-BF9C68734A19}" name="Operating_Cost_EUR" dataDxfId="62" dataCellStyle="Comma"/>
    <tableColumn id="7" xr3:uid="{14DBE44E-2C67-47AF-84AD-E63EEF2A043C}" name="Net_Profit_EUR" dataDxfId="61" dataCellStyle="Comm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E23B64-87A2-4EDC-926E-847695817129}" name="Table4" displayName="Table4" ref="A1:C12" totalsRowShown="0">
  <autoFilter ref="A1:C12" xr:uid="{8EE23B64-87A2-4EDC-926E-847695817129}"/>
  <tableColumns count="3">
    <tableColumn id="1" xr3:uid="{A1DAE78C-F644-40F9-8C89-FCAB99D6AC4F}" name="Cost_Item"/>
    <tableColumn id="2" xr3:uid="{C37D5D42-717F-4DC2-A6AD-E493E4387AF0}" name="Estimated_Cost_EUR" dataDxfId="60" dataCellStyle="Comma"/>
    <tableColumn id="3" xr3:uid="{D9417317-C0CB-4F98-9A93-A49099765B3C}" name="Type"/>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43FCBF-24DD-4D23-8CAE-3DB4CBF482F1}" name="Summary" displayName="Summary" ref="B6:E13" totalsRowShown="0" headerRowDxfId="15" dataDxfId="59" dataCellStyle="Comma">
  <tableColumns count="4">
    <tableColumn id="1" xr3:uid="{B5B3133C-056F-4FB9-A052-789388C2E2CE}" name="Parameters"/>
    <tableColumn id="2" xr3:uid="{E496C158-DE17-485F-8EF3-B81FEF369958}" name="2025" dataDxfId="58" dataCellStyle="Comma"/>
    <tableColumn id="3" xr3:uid="{3F656862-D978-4A8D-865F-6D3021D1E9E2}" name="2026" dataDxfId="57" dataCellStyle="Comma"/>
    <tableColumn id="4" xr3:uid="{2516B7AE-E217-4B28-9578-D5AEE7452B90}" name="2027" dataDxfId="56" dataCellStyle="Comma"/>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B87DD7-D6E8-435D-9156-CB4C35770754}" name="Data" displayName="Data" ref="C6:M19" totalsRowShown="0" headerRowDxfId="17">
  <tableColumns count="11">
    <tableColumn id="1" xr3:uid="{87BCF397-CB57-49DD-A2CC-B53589DD62AB}" name="Year" dataDxfId="16"/>
    <tableColumn id="2" xr3:uid="{F715FBC1-3ABF-4936-BF08-0935D8519CAB}" name="Capex Items" dataDxfId="55"/>
    <tableColumn id="9" xr3:uid="{6147A606-43CA-423E-A40D-350929F00219}" name="Capex" dataDxfId="54"/>
    <tableColumn id="3" xr3:uid="{C7ACC36A-9B63-498A-8E1A-E3F17D77A11D}" name="Opex Items" dataDxfId="53"/>
    <tableColumn id="10" xr3:uid="{749352C6-4445-4C9F-B8E7-40F3BCF3E074}" name="Opex" dataDxfId="52"/>
    <tableColumn id="4" xr3:uid="{9B0F5364-8459-4EEC-A37F-2E5B4F955627}" name="Total Cost" dataDxfId="51"/>
    <tableColumn id="5" xr3:uid="{090852A2-A5E6-4D60-92C7-56F3C79107CA}" name="Total Revenue" dataDxfId="50"/>
    <tableColumn id="6" xr3:uid="{CA01924C-B2B6-4512-B445-15CE29B57E2B}" name="Net Profit" dataDxfId="49"/>
    <tableColumn id="11" xr3:uid="{EC5D436D-73E2-4B0E-96AA-30BED1F1F7D7}" name="Profit Margin" dataDxfId="48">
      <calculatedColumnFormula>Data[[#This Row],[Net Profit]]/Data[[#This Row],[Total Revenue]]</calculatedColumnFormula>
    </tableColumn>
    <tableColumn id="7" xr3:uid="{B599A179-C992-4423-9763-B2273B3C308A}" name="ROI"/>
    <tableColumn id="8" xr3:uid="{5C488D66-D5D8-49C7-8CFC-3F70BBD941CB}" name="Breakeven Tim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9.xml"/><Relationship Id="rId4" Type="http://schemas.openxmlformats.org/officeDocument/2006/relationships/ctrlProp" Target="../ctrlProps/ctrlProp8.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0.xml"/><Relationship Id="rId2" Type="http://schemas.openxmlformats.org/officeDocument/2006/relationships/vmlDrawing" Target="../drawings/vmlDrawing4.vml"/><Relationship Id="rId1" Type="http://schemas.openxmlformats.org/officeDocument/2006/relationships/drawing" Target="../drawings/drawing4.xml"/><Relationship Id="rId5" Type="http://schemas.openxmlformats.org/officeDocument/2006/relationships/ctrlProp" Target="../ctrlProps/ctrlProp12.xml"/><Relationship Id="rId4" Type="http://schemas.openxmlformats.org/officeDocument/2006/relationships/ctrlProp" Target="../ctrlProps/ctrlProp11.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13.xml"/><Relationship Id="rId2" Type="http://schemas.openxmlformats.org/officeDocument/2006/relationships/vmlDrawing" Target="../drawings/vmlDrawing5.vml"/><Relationship Id="rId1" Type="http://schemas.openxmlformats.org/officeDocument/2006/relationships/drawing" Target="../drawings/drawing5.xml"/><Relationship Id="rId6" Type="http://schemas.openxmlformats.org/officeDocument/2006/relationships/table" Target="../tables/table3.xml"/><Relationship Id="rId5" Type="http://schemas.openxmlformats.org/officeDocument/2006/relationships/ctrlProp" Target="../ctrlProps/ctrlProp15.xml"/><Relationship Id="rId4" Type="http://schemas.openxmlformats.org/officeDocument/2006/relationships/ctrlProp" Target="../ctrlProps/ctrlProp14.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6.xml"/><Relationship Id="rId2" Type="http://schemas.openxmlformats.org/officeDocument/2006/relationships/vmlDrawing" Target="../drawings/vmlDrawing6.vml"/><Relationship Id="rId1" Type="http://schemas.openxmlformats.org/officeDocument/2006/relationships/drawing" Target="../drawings/drawing6.xml"/><Relationship Id="rId6" Type="http://schemas.openxmlformats.org/officeDocument/2006/relationships/table" Target="../tables/table4.xml"/><Relationship Id="rId5" Type="http://schemas.openxmlformats.org/officeDocument/2006/relationships/ctrlProp" Target="../ctrlProps/ctrlProp18.xml"/><Relationship Id="rId4" Type="http://schemas.openxmlformats.org/officeDocument/2006/relationships/ctrlProp" Target="../ctrlProps/ctrlProp1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7"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trlProp" Target="../ctrlProps/ctrlProp21.xml"/><Relationship Id="rId5" Type="http://schemas.openxmlformats.org/officeDocument/2006/relationships/ctrlProp" Target="../ctrlProps/ctrlProp20.xml"/><Relationship Id="rId4" Type="http://schemas.openxmlformats.org/officeDocument/2006/relationships/ctrlProp" Target="../ctrlProps/ctrlProp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55B6C-7E66-4ED2-B647-64E75A3F3FE5}">
  <sheetPr>
    <tabColor theme="1" tint="0.499984740745262"/>
  </sheetPr>
  <dimension ref="A1:K85"/>
  <sheetViews>
    <sheetView showGridLines="0" workbookViewId="0">
      <selection sqref="A1:G1"/>
    </sheetView>
  </sheetViews>
  <sheetFormatPr defaultRowHeight="14.5" x14ac:dyDescent="0.35"/>
  <cols>
    <col min="1" max="1" width="7.90625" customWidth="1"/>
    <col min="2" max="2" width="10.1796875" bestFit="1" customWidth="1"/>
    <col min="3" max="3" width="20.36328125" customWidth="1"/>
    <col min="4" max="4" width="16.1796875" customWidth="1"/>
    <col min="5" max="5" width="13.90625" customWidth="1"/>
    <col min="6" max="6" width="19.6328125" customWidth="1"/>
    <col min="7" max="7" width="15.08984375" customWidth="1"/>
    <col min="10" max="10" width="17.1796875" bestFit="1" customWidth="1"/>
  </cols>
  <sheetData>
    <row r="1" spans="1:11" x14ac:dyDescent="0.35">
      <c r="A1" t="s">
        <v>0</v>
      </c>
      <c r="B1" t="s">
        <v>1</v>
      </c>
      <c r="C1" t="s">
        <v>2</v>
      </c>
      <c r="D1" t="s">
        <v>3</v>
      </c>
      <c r="E1" t="s">
        <v>4</v>
      </c>
      <c r="F1" t="s">
        <v>5</v>
      </c>
      <c r="G1" t="s">
        <v>6</v>
      </c>
      <c r="J1" s="40" t="s">
        <v>34</v>
      </c>
      <c r="K1" s="45">
        <v>7</v>
      </c>
    </row>
    <row r="2" spans="1:11" x14ac:dyDescent="0.35">
      <c r="A2" s="1">
        <v>46388</v>
      </c>
      <c r="B2" s="53" t="s">
        <v>8</v>
      </c>
      <c r="C2" s="3">
        <v>5000</v>
      </c>
      <c r="D2" s="2">
        <v>15</v>
      </c>
      <c r="E2" s="3">
        <v>75000</v>
      </c>
      <c r="F2" s="3">
        <v>51000</v>
      </c>
      <c r="G2" s="3">
        <v>24000</v>
      </c>
      <c r="J2" s="40" t="s">
        <v>33</v>
      </c>
      <c r="K2" s="45">
        <v>4</v>
      </c>
    </row>
    <row r="3" spans="1:11" x14ac:dyDescent="0.35">
      <c r="A3" s="1">
        <v>46419</v>
      </c>
      <c r="B3" s="53" t="s">
        <v>8</v>
      </c>
      <c r="C3" s="3">
        <v>5000</v>
      </c>
      <c r="D3" s="2">
        <v>15</v>
      </c>
      <c r="E3" s="3">
        <v>75000</v>
      </c>
      <c r="F3" s="3">
        <v>51000</v>
      </c>
      <c r="G3" s="3">
        <v>24000</v>
      </c>
      <c r="J3" s="40" t="s">
        <v>31</v>
      </c>
      <c r="K3" s="45">
        <v>12</v>
      </c>
    </row>
    <row r="4" spans="1:11" x14ac:dyDescent="0.35">
      <c r="A4" s="1">
        <v>46447</v>
      </c>
      <c r="B4" s="53" t="s">
        <v>8</v>
      </c>
      <c r="C4" s="3">
        <v>5000</v>
      </c>
      <c r="D4" s="2">
        <v>15</v>
      </c>
      <c r="E4" s="3">
        <v>75000</v>
      </c>
      <c r="F4" s="3">
        <v>51000</v>
      </c>
      <c r="G4" s="3">
        <v>24000</v>
      </c>
      <c r="J4" s="40" t="s">
        <v>32</v>
      </c>
      <c r="K4" s="45">
        <v>2</v>
      </c>
    </row>
    <row r="5" spans="1:11" x14ac:dyDescent="0.35">
      <c r="A5" s="1">
        <v>46478</v>
      </c>
      <c r="B5" s="53" t="s">
        <v>8</v>
      </c>
      <c r="C5" s="3">
        <v>5000</v>
      </c>
      <c r="D5" s="2">
        <v>15</v>
      </c>
      <c r="E5" s="3">
        <v>75000</v>
      </c>
      <c r="F5" s="3">
        <v>51000</v>
      </c>
      <c r="G5" s="3">
        <v>24000</v>
      </c>
    </row>
    <row r="6" spans="1:11" x14ac:dyDescent="0.35">
      <c r="A6" s="1">
        <v>46508</v>
      </c>
      <c r="B6" s="53" t="s">
        <v>8</v>
      </c>
      <c r="C6" s="3">
        <v>5000</v>
      </c>
      <c r="D6" s="2">
        <v>15</v>
      </c>
      <c r="E6" s="3">
        <v>75000</v>
      </c>
      <c r="F6" s="3">
        <v>51000</v>
      </c>
      <c r="G6" s="3">
        <v>24000</v>
      </c>
    </row>
    <row r="7" spans="1:11" x14ac:dyDescent="0.35">
      <c r="A7" s="1">
        <v>46539</v>
      </c>
      <c r="B7" s="53" t="s">
        <v>8</v>
      </c>
      <c r="C7" s="3">
        <v>5000</v>
      </c>
      <c r="D7" s="2">
        <v>15</v>
      </c>
      <c r="E7" s="3">
        <v>75000</v>
      </c>
      <c r="F7" s="3">
        <v>51000</v>
      </c>
      <c r="G7" s="3">
        <v>24000</v>
      </c>
    </row>
    <row r="8" spans="1:11" x14ac:dyDescent="0.35">
      <c r="A8" s="1">
        <v>46569</v>
      </c>
      <c r="B8" s="53" t="s">
        <v>8</v>
      </c>
      <c r="C8" s="3">
        <v>5000</v>
      </c>
      <c r="D8" s="2">
        <v>15</v>
      </c>
      <c r="E8" s="3">
        <v>75000</v>
      </c>
      <c r="F8" s="3">
        <v>51000</v>
      </c>
      <c r="G8" s="3">
        <v>24000</v>
      </c>
    </row>
    <row r="9" spans="1:11" x14ac:dyDescent="0.35">
      <c r="A9" s="1">
        <v>46600</v>
      </c>
      <c r="B9" s="53" t="s">
        <v>8</v>
      </c>
      <c r="C9" s="3">
        <v>5000</v>
      </c>
      <c r="D9" s="2">
        <v>15</v>
      </c>
      <c r="E9" s="3">
        <v>75000</v>
      </c>
      <c r="F9" s="3">
        <v>51000</v>
      </c>
      <c r="G9" s="3">
        <v>24000</v>
      </c>
    </row>
    <row r="10" spans="1:11" x14ac:dyDescent="0.35">
      <c r="A10" s="1">
        <v>46631</v>
      </c>
      <c r="B10" s="53" t="s">
        <v>8</v>
      </c>
      <c r="C10" s="3">
        <v>5000</v>
      </c>
      <c r="D10" s="2">
        <v>15</v>
      </c>
      <c r="E10" s="3">
        <v>75000</v>
      </c>
      <c r="F10" s="3">
        <v>51000</v>
      </c>
      <c r="G10" s="3">
        <v>24000</v>
      </c>
    </row>
    <row r="11" spans="1:11" x14ac:dyDescent="0.35">
      <c r="A11" s="1">
        <v>46661</v>
      </c>
      <c r="B11" s="53" t="s">
        <v>8</v>
      </c>
      <c r="C11" s="3">
        <v>5000</v>
      </c>
      <c r="D11" s="2">
        <v>15</v>
      </c>
      <c r="E11" s="3">
        <v>75000</v>
      </c>
      <c r="F11" s="3">
        <v>51000</v>
      </c>
      <c r="G11" s="3">
        <v>24000</v>
      </c>
    </row>
    <row r="12" spans="1:11" x14ac:dyDescent="0.35">
      <c r="A12" s="1">
        <v>46692</v>
      </c>
      <c r="B12" s="53" t="s">
        <v>8</v>
      </c>
      <c r="C12" s="3">
        <v>5000</v>
      </c>
      <c r="D12" s="2">
        <v>15</v>
      </c>
      <c r="E12" s="3">
        <v>75000</v>
      </c>
      <c r="F12" s="3">
        <v>51000</v>
      </c>
      <c r="G12" s="3">
        <v>24000</v>
      </c>
    </row>
    <row r="13" spans="1:11" x14ac:dyDescent="0.35">
      <c r="A13" s="1">
        <v>46722</v>
      </c>
      <c r="B13" s="53" t="s">
        <v>8</v>
      </c>
      <c r="C13" s="3">
        <v>5000</v>
      </c>
      <c r="D13" s="2">
        <v>15</v>
      </c>
      <c r="E13" s="3">
        <v>75000</v>
      </c>
      <c r="F13" s="3">
        <v>51000</v>
      </c>
      <c r="G13" s="3">
        <v>24000</v>
      </c>
    </row>
    <row r="14" spans="1:11" x14ac:dyDescent="0.35">
      <c r="A14" s="1">
        <v>46023</v>
      </c>
      <c r="B14" s="53" t="s">
        <v>8</v>
      </c>
      <c r="C14" s="3">
        <v>5000</v>
      </c>
      <c r="D14" s="2">
        <v>15</v>
      </c>
      <c r="E14" s="3">
        <v>75000</v>
      </c>
      <c r="F14" s="3">
        <v>51000</v>
      </c>
      <c r="G14" s="3">
        <v>24000</v>
      </c>
    </row>
    <row r="15" spans="1:11" x14ac:dyDescent="0.35">
      <c r="A15" s="1">
        <v>46054</v>
      </c>
      <c r="B15" s="53" t="s">
        <v>8</v>
      </c>
      <c r="C15" s="3">
        <v>5000</v>
      </c>
      <c r="D15" s="2">
        <v>15</v>
      </c>
      <c r="E15" s="3">
        <v>75000</v>
      </c>
      <c r="F15" s="3">
        <v>51000</v>
      </c>
      <c r="G15" s="3">
        <v>24000</v>
      </c>
    </row>
    <row r="16" spans="1:11" x14ac:dyDescent="0.35">
      <c r="A16" s="1">
        <v>46082</v>
      </c>
      <c r="B16" s="53" t="s">
        <v>8</v>
      </c>
      <c r="C16" s="3">
        <v>5000</v>
      </c>
      <c r="D16" s="2">
        <v>15</v>
      </c>
      <c r="E16" s="3">
        <v>75000</v>
      </c>
      <c r="F16" s="3">
        <v>51000</v>
      </c>
      <c r="G16" s="3">
        <v>24000</v>
      </c>
    </row>
    <row r="17" spans="1:7" x14ac:dyDescent="0.35">
      <c r="A17" s="1">
        <v>46113</v>
      </c>
      <c r="B17" s="53" t="s">
        <v>8</v>
      </c>
      <c r="C17" s="3">
        <v>5000</v>
      </c>
      <c r="D17" s="2">
        <v>15</v>
      </c>
      <c r="E17" s="3">
        <v>75000</v>
      </c>
      <c r="F17" s="3">
        <v>51000</v>
      </c>
      <c r="G17" s="3">
        <v>24000</v>
      </c>
    </row>
    <row r="18" spans="1:7" x14ac:dyDescent="0.35">
      <c r="A18" s="1">
        <v>46143</v>
      </c>
      <c r="B18" s="53" t="s">
        <v>8</v>
      </c>
      <c r="C18" s="3">
        <v>5000</v>
      </c>
      <c r="D18" s="2">
        <v>15</v>
      </c>
      <c r="E18" s="3">
        <v>75000</v>
      </c>
      <c r="F18" s="3">
        <v>51000</v>
      </c>
      <c r="G18" s="3">
        <v>24000</v>
      </c>
    </row>
    <row r="19" spans="1:7" x14ac:dyDescent="0.35">
      <c r="A19" s="1">
        <v>46174</v>
      </c>
      <c r="B19" s="53" t="s">
        <v>8</v>
      </c>
      <c r="C19" s="3">
        <v>5000</v>
      </c>
      <c r="D19" s="2">
        <v>15</v>
      </c>
      <c r="E19" s="3">
        <v>75000</v>
      </c>
      <c r="F19" s="3">
        <v>51000</v>
      </c>
      <c r="G19" s="3">
        <v>24000</v>
      </c>
    </row>
    <row r="20" spans="1:7" x14ac:dyDescent="0.35">
      <c r="A20" s="1">
        <v>46204</v>
      </c>
      <c r="B20" s="53" t="s">
        <v>8</v>
      </c>
      <c r="C20" s="3">
        <v>5000</v>
      </c>
      <c r="D20" s="2">
        <v>15</v>
      </c>
      <c r="E20" s="3">
        <v>75000</v>
      </c>
      <c r="F20" s="3">
        <v>51000</v>
      </c>
      <c r="G20" s="3">
        <v>24000</v>
      </c>
    </row>
    <row r="21" spans="1:7" x14ac:dyDescent="0.35">
      <c r="A21" s="1">
        <v>46235</v>
      </c>
      <c r="B21" s="53" t="s">
        <v>8</v>
      </c>
      <c r="C21" s="3">
        <v>5000</v>
      </c>
      <c r="D21" s="2">
        <v>15</v>
      </c>
      <c r="E21" s="3">
        <v>75000</v>
      </c>
      <c r="F21" s="3">
        <v>51000</v>
      </c>
      <c r="G21" s="3">
        <v>24000</v>
      </c>
    </row>
    <row r="22" spans="1:7" x14ac:dyDescent="0.35">
      <c r="A22" s="1">
        <v>46266</v>
      </c>
      <c r="B22" s="53" t="s">
        <v>8</v>
      </c>
      <c r="C22" s="3">
        <v>5000</v>
      </c>
      <c r="D22" s="2">
        <v>15</v>
      </c>
      <c r="E22" s="3">
        <v>75000</v>
      </c>
      <c r="F22" s="3">
        <v>51000</v>
      </c>
      <c r="G22" s="3">
        <v>24000</v>
      </c>
    </row>
    <row r="23" spans="1:7" x14ac:dyDescent="0.35">
      <c r="A23" s="1">
        <v>46296</v>
      </c>
      <c r="B23" s="53" t="s">
        <v>8</v>
      </c>
      <c r="C23" s="3">
        <v>5000</v>
      </c>
      <c r="D23" s="2">
        <v>15</v>
      </c>
      <c r="E23" s="3">
        <v>75000</v>
      </c>
      <c r="F23" s="3">
        <v>51000</v>
      </c>
      <c r="G23" s="3">
        <v>24000</v>
      </c>
    </row>
    <row r="24" spans="1:7" x14ac:dyDescent="0.35">
      <c r="A24" s="1">
        <v>46327</v>
      </c>
      <c r="B24" s="53" t="s">
        <v>8</v>
      </c>
      <c r="C24" s="3">
        <v>5000</v>
      </c>
      <c r="D24" s="2">
        <v>15</v>
      </c>
      <c r="E24" s="3">
        <v>75000</v>
      </c>
      <c r="F24" s="3">
        <v>51000</v>
      </c>
      <c r="G24" s="3">
        <v>24000</v>
      </c>
    </row>
    <row r="25" spans="1:7" x14ac:dyDescent="0.35">
      <c r="A25" s="1">
        <v>46357</v>
      </c>
      <c r="B25" s="53" t="s">
        <v>8</v>
      </c>
      <c r="C25" s="3">
        <v>5000</v>
      </c>
      <c r="D25" s="2">
        <v>15</v>
      </c>
      <c r="E25" s="3">
        <v>75000</v>
      </c>
      <c r="F25" s="3">
        <v>51000</v>
      </c>
      <c r="G25" s="3">
        <v>24000</v>
      </c>
    </row>
    <row r="26" spans="1:7" x14ac:dyDescent="0.35">
      <c r="A26" s="1">
        <v>46388</v>
      </c>
      <c r="B26" t="s">
        <v>7</v>
      </c>
      <c r="C26" s="3">
        <v>6500</v>
      </c>
      <c r="D26" s="2">
        <v>17.5</v>
      </c>
      <c r="E26" s="3">
        <v>113750</v>
      </c>
      <c r="F26" s="3">
        <v>51000</v>
      </c>
      <c r="G26" s="3">
        <v>62750</v>
      </c>
    </row>
    <row r="27" spans="1:7" x14ac:dyDescent="0.35">
      <c r="A27" s="1">
        <v>46419</v>
      </c>
      <c r="B27" t="s">
        <v>7</v>
      </c>
      <c r="C27" s="3">
        <v>6500</v>
      </c>
      <c r="D27" s="2">
        <v>17.5</v>
      </c>
      <c r="E27" s="3">
        <v>113750</v>
      </c>
      <c r="F27" s="3">
        <v>51000</v>
      </c>
      <c r="G27" s="3">
        <v>62750</v>
      </c>
    </row>
    <row r="28" spans="1:7" x14ac:dyDescent="0.35">
      <c r="A28" s="1">
        <v>46447</v>
      </c>
      <c r="B28" t="s">
        <v>7</v>
      </c>
      <c r="C28" s="3">
        <v>6500</v>
      </c>
      <c r="D28" s="2">
        <v>17.5</v>
      </c>
      <c r="E28" s="3">
        <v>113750</v>
      </c>
      <c r="F28" s="3">
        <v>51000</v>
      </c>
      <c r="G28" s="3">
        <v>62750</v>
      </c>
    </row>
    <row r="29" spans="1:7" x14ac:dyDescent="0.35">
      <c r="A29" s="1">
        <v>46478</v>
      </c>
      <c r="B29" t="s">
        <v>7</v>
      </c>
      <c r="C29" s="3">
        <v>6500</v>
      </c>
      <c r="D29" s="2">
        <v>17.5</v>
      </c>
      <c r="E29" s="3">
        <v>113750</v>
      </c>
      <c r="F29" s="3">
        <v>51000</v>
      </c>
      <c r="G29" s="3">
        <v>62750</v>
      </c>
    </row>
    <row r="30" spans="1:7" x14ac:dyDescent="0.35">
      <c r="A30" s="1">
        <v>46508</v>
      </c>
      <c r="B30" t="s">
        <v>7</v>
      </c>
      <c r="C30" s="3">
        <v>6500</v>
      </c>
      <c r="D30" s="2">
        <v>17.5</v>
      </c>
      <c r="E30" s="3">
        <v>113750</v>
      </c>
      <c r="F30" s="3">
        <v>51000</v>
      </c>
      <c r="G30" s="3">
        <v>62750</v>
      </c>
    </row>
    <row r="31" spans="1:7" x14ac:dyDescent="0.35">
      <c r="A31" s="1">
        <v>46539</v>
      </c>
      <c r="B31" t="s">
        <v>7</v>
      </c>
      <c r="C31" s="3">
        <v>6500</v>
      </c>
      <c r="D31" s="2">
        <v>17.5</v>
      </c>
      <c r="E31" s="3">
        <v>113750</v>
      </c>
      <c r="F31" s="3">
        <v>51000</v>
      </c>
      <c r="G31" s="3">
        <v>62750</v>
      </c>
    </row>
    <row r="32" spans="1:7" x14ac:dyDescent="0.35">
      <c r="A32" s="1">
        <v>46569</v>
      </c>
      <c r="B32" t="s">
        <v>7</v>
      </c>
      <c r="C32" s="3">
        <v>6500</v>
      </c>
      <c r="D32" s="2">
        <v>17.5</v>
      </c>
      <c r="E32" s="3">
        <v>113750</v>
      </c>
      <c r="F32" s="3">
        <v>51000</v>
      </c>
      <c r="G32" s="3">
        <v>62750</v>
      </c>
    </row>
    <row r="33" spans="1:7" x14ac:dyDescent="0.35">
      <c r="A33" s="1">
        <v>46600</v>
      </c>
      <c r="B33" t="s">
        <v>7</v>
      </c>
      <c r="C33" s="3">
        <v>6500</v>
      </c>
      <c r="D33" s="2">
        <v>17.5</v>
      </c>
      <c r="E33" s="3">
        <v>113750</v>
      </c>
      <c r="F33" s="3">
        <v>51000</v>
      </c>
      <c r="G33" s="3">
        <v>62750</v>
      </c>
    </row>
    <row r="34" spans="1:7" x14ac:dyDescent="0.35">
      <c r="A34" s="1">
        <v>46631</v>
      </c>
      <c r="B34" t="s">
        <v>7</v>
      </c>
      <c r="C34" s="3">
        <v>6500</v>
      </c>
      <c r="D34" s="2">
        <v>17.5</v>
      </c>
      <c r="E34" s="3">
        <v>113750</v>
      </c>
      <c r="F34" s="3">
        <v>51000</v>
      </c>
      <c r="G34" s="3">
        <v>62750</v>
      </c>
    </row>
    <row r="35" spans="1:7" x14ac:dyDescent="0.35">
      <c r="A35" s="1">
        <v>46661</v>
      </c>
      <c r="B35" t="s">
        <v>7</v>
      </c>
      <c r="C35" s="3">
        <v>6500</v>
      </c>
      <c r="D35" s="2">
        <v>17.5</v>
      </c>
      <c r="E35" s="3">
        <v>113750</v>
      </c>
      <c r="F35" s="3">
        <v>51000</v>
      </c>
      <c r="G35" s="3">
        <v>62750</v>
      </c>
    </row>
    <row r="36" spans="1:7" x14ac:dyDescent="0.35">
      <c r="A36" s="1">
        <v>46692</v>
      </c>
      <c r="B36" t="s">
        <v>7</v>
      </c>
      <c r="C36" s="3">
        <v>6500</v>
      </c>
      <c r="D36" s="2">
        <v>17.5</v>
      </c>
      <c r="E36" s="3">
        <v>113750</v>
      </c>
      <c r="F36" s="3">
        <v>51000</v>
      </c>
      <c r="G36" s="3">
        <v>62750</v>
      </c>
    </row>
    <row r="37" spans="1:7" x14ac:dyDescent="0.35">
      <c r="A37" s="1">
        <v>46722</v>
      </c>
      <c r="B37" t="s">
        <v>7</v>
      </c>
      <c r="C37" s="3">
        <v>6500</v>
      </c>
      <c r="D37" s="2">
        <v>17.5</v>
      </c>
      <c r="E37" s="3">
        <v>113750</v>
      </c>
      <c r="F37" s="3">
        <v>51000</v>
      </c>
      <c r="G37" s="3">
        <v>62750</v>
      </c>
    </row>
    <row r="38" spans="1:7" x14ac:dyDescent="0.35">
      <c r="A38" s="1">
        <v>46023</v>
      </c>
      <c r="B38" t="s">
        <v>7</v>
      </c>
      <c r="C38" s="3">
        <v>6500</v>
      </c>
      <c r="D38" s="2">
        <v>17.5</v>
      </c>
      <c r="E38" s="3">
        <v>113750</v>
      </c>
      <c r="F38" s="3">
        <v>51000</v>
      </c>
      <c r="G38" s="3">
        <v>62750</v>
      </c>
    </row>
    <row r="39" spans="1:7" x14ac:dyDescent="0.35">
      <c r="A39" s="1">
        <v>46054</v>
      </c>
      <c r="B39" t="s">
        <v>7</v>
      </c>
      <c r="C39" s="3">
        <v>6500</v>
      </c>
      <c r="D39" s="2">
        <v>17.5</v>
      </c>
      <c r="E39" s="3">
        <v>113750</v>
      </c>
      <c r="F39" s="3">
        <v>51000</v>
      </c>
      <c r="G39" s="3">
        <v>62750</v>
      </c>
    </row>
    <row r="40" spans="1:7" x14ac:dyDescent="0.35">
      <c r="A40" s="1">
        <v>46082</v>
      </c>
      <c r="B40" t="s">
        <v>7</v>
      </c>
      <c r="C40" s="3">
        <v>6500</v>
      </c>
      <c r="D40" s="2">
        <v>17.5</v>
      </c>
      <c r="E40" s="3">
        <v>113750</v>
      </c>
      <c r="F40" s="3">
        <v>51000</v>
      </c>
      <c r="G40" s="3">
        <v>62750</v>
      </c>
    </row>
    <row r="41" spans="1:7" x14ac:dyDescent="0.35">
      <c r="A41" s="1">
        <v>46113</v>
      </c>
      <c r="B41" t="s">
        <v>7</v>
      </c>
      <c r="C41" s="3">
        <v>6500</v>
      </c>
      <c r="D41" s="2">
        <v>17.5</v>
      </c>
      <c r="E41" s="3">
        <v>113750</v>
      </c>
      <c r="F41" s="3">
        <v>51000</v>
      </c>
      <c r="G41" s="3">
        <v>62750</v>
      </c>
    </row>
    <row r="42" spans="1:7" x14ac:dyDescent="0.35">
      <c r="A42" s="1">
        <v>46143</v>
      </c>
      <c r="B42" t="s">
        <v>7</v>
      </c>
      <c r="C42" s="3">
        <v>6500</v>
      </c>
      <c r="D42" s="2">
        <v>17.5</v>
      </c>
      <c r="E42" s="3">
        <v>113750</v>
      </c>
      <c r="F42" s="3">
        <v>51000</v>
      </c>
      <c r="G42" s="3">
        <v>62750</v>
      </c>
    </row>
    <row r="43" spans="1:7" x14ac:dyDescent="0.35">
      <c r="A43" s="1">
        <v>46174</v>
      </c>
      <c r="B43" t="s">
        <v>7</v>
      </c>
      <c r="C43" s="3">
        <v>6500</v>
      </c>
      <c r="D43" s="2">
        <v>17.5</v>
      </c>
      <c r="E43" s="3">
        <v>113750</v>
      </c>
      <c r="F43" s="3">
        <v>51000</v>
      </c>
      <c r="G43" s="3">
        <v>62750</v>
      </c>
    </row>
    <row r="44" spans="1:7" x14ac:dyDescent="0.35">
      <c r="A44" s="1">
        <v>46204</v>
      </c>
      <c r="B44" t="s">
        <v>7</v>
      </c>
      <c r="C44" s="3">
        <v>6500</v>
      </c>
      <c r="D44" s="2">
        <v>17.5</v>
      </c>
      <c r="E44" s="3">
        <v>113750</v>
      </c>
      <c r="F44" s="3">
        <v>51000</v>
      </c>
      <c r="G44" s="3">
        <v>62750</v>
      </c>
    </row>
    <row r="45" spans="1:7" x14ac:dyDescent="0.35">
      <c r="A45" s="1">
        <v>46235</v>
      </c>
      <c r="B45" t="s">
        <v>7</v>
      </c>
      <c r="C45" s="3">
        <v>6500</v>
      </c>
      <c r="D45" s="2">
        <v>17.5</v>
      </c>
      <c r="E45" s="3">
        <v>113750</v>
      </c>
      <c r="F45" s="3">
        <v>51000</v>
      </c>
      <c r="G45" s="3">
        <v>62750</v>
      </c>
    </row>
    <row r="46" spans="1:7" x14ac:dyDescent="0.35">
      <c r="A46" s="1">
        <v>46266</v>
      </c>
      <c r="B46" t="s">
        <v>7</v>
      </c>
      <c r="C46" s="3">
        <v>6500</v>
      </c>
      <c r="D46" s="2">
        <v>17.5</v>
      </c>
      <c r="E46" s="3">
        <v>113750</v>
      </c>
      <c r="F46" s="3">
        <v>51000</v>
      </c>
      <c r="G46" s="3">
        <v>62750</v>
      </c>
    </row>
    <row r="47" spans="1:7" x14ac:dyDescent="0.35">
      <c r="A47" s="1">
        <v>46296</v>
      </c>
      <c r="B47" t="s">
        <v>7</v>
      </c>
      <c r="C47" s="3">
        <v>6500</v>
      </c>
      <c r="D47" s="2">
        <v>17.5</v>
      </c>
      <c r="E47" s="3">
        <v>113750</v>
      </c>
      <c r="F47" s="3">
        <v>51000</v>
      </c>
      <c r="G47" s="3">
        <v>62750</v>
      </c>
    </row>
    <row r="48" spans="1:7" x14ac:dyDescent="0.35">
      <c r="A48" s="1">
        <v>46327</v>
      </c>
      <c r="B48" t="s">
        <v>7</v>
      </c>
      <c r="C48" s="3">
        <v>6500</v>
      </c>
      <c r="D48" s="2">
        <v>17.5</v>
      </c>
      <c r="E48" s="3">
        <v>113750</v>
      </c>
      <c r="F48" s="3">
        <v>51000</v>
      </c>
      <c r="G48" s="3">
        <v>62750</v>
      </c>
    </row>
    <row r="49" spans="1:10" x14ac:dyDescent="0.35">
      <c r="A49" s="1">
        <v>46357</v>
      </c>
      <c r="B49" t="s">
        <v>7</v>
      </c>
      <c r="C49" s="3">
        <v>6500</v>
      </c>
      <c r="D49" s="2">
        <v>17.5</v>
      </c>
      <c r="E49" s="3">
        <v>113750</v>
      </c>
      <c r="F49" s="3">
        <v>51000</v>
      </c>
      <c r="G49" s="3">
        <v>62750</v>
      </c>
    </row>
    <row r="50" spans="1:10" x14ac:dyDescent="0.35">
      <c r="A50" s="1">
        <v>46388</v>
      </c>
      <c r="B50" t="s">
        <v>9</v>
      </c>
      <c r="C50" s="3">
        <v>3500</v>
      </c>
      <c r="D50" s="2">
        <v>12</v>
      </c>
      <c r="E50" s="3">
        <v>42000</v>
      </c>
      <c r="F50" s="3">
        <v>53550</v>
      </c>
      <c r="G50" s="3">
        <v>-11550</v>
      </c>
      <c r="J50">
        <f>F50/F49</f>
        <v>1.05</v>
      </c>
    </row>
    <row r="51" spans="1:10" x14ac:dyDescent="0.35">
      <c r="A51" s="1">
        <v>46419</v>
      </c>
      <c r="B51" t="s">
        <v>9</v>
      </c>
      <c r="C51" s="3">
        <v>3500</v>
      </c>
      <c r="D51" s="2">
        <v>12</v>
      </c>
      <c r="E51" s="3">
        <v>42000</v>
      </c>
      <c r="F51" s="3">
        <v>53550</v>
      </c>
      <c r="G51" s="3">
        <v>-11550</v>
      </c>
    </row>
    <row r="52" spans="1:10" x14ac:dyDescent="0.35">
      <c r="A52" s="1">
        <v>46447</v>
      </c>
      <c r="B52" t="s">
        <v>9</v>
      </c>
      <c r="C52" s="3">
        <v>3500</v>
      </c>
      <c r="D52" s="2">
        <v>12</v>
      </c>
      <c r="E52" s="3">
        <v>42000</v>
      </c>
      <c r="F52" s="3">
        <v>53550</v>
      </c>
      <c r="G52" s="3">
        <v>-11550</v>
      </c>
    </row>
    <row r="53" spans="1:10" x14ac:dyDescent="0.35">
      <c r="A53" s="1">
        <v>46478</v>
      </c>
      <c r="B53" t="s">
        <v>9</v>
      </c>
      <c r="C53" s="3">
        <v>3500</v>
      </c>
      <c r="D53" s="2">
        <v>12</v>
      </c>
      <c r="E53" s="3">
        <v>42000</v>
      </c>
      <c r="F53" s="3">
        <v>53550</v>
      </c>
      <c r="G53" s="3">
        <v>-11550</v>
      </c>
    </row>
    <row r="54" spans="1:10" x14ac:dyDescent="0.35">
      <c r="A54" s="1">
        <v>46508</v>
      </c>
      <c r="B54" t="s">
        <v>9</v>
      </c>
      <c r="C54" s="3">
        <v>3500</v>
      </c>
      <c r="D54" s="2">
        <v>12</v>
      </c>
      <c r="E54" s="3">
        <v>42000</v>
      </c>
      <c r="F54" s="3">
        <v>53550</v>
      </c>
      <c r="G54" s="3">
        <v>-11550</v>
      </c>
    </row>
    <row r="55" spans="1:10" x14ac:dyDescent="0.35">
      <c r="A55" s="1">
        <v>46539</v>
      </c>
      <c r="B55" t="s">
        <v>9</v>
      </c>
      <c r="C55" s="3">
        <v>3500</v>
      </c>
      <c r="D55" s="2">
        <v>12</v>
      </c>
      <c r="E55" s="3">
        <v>42000</v>
      </c>
      <c r="F55" s="3">
        <v>53550</v>
      </c>
      <c r="G55" s="3">
        <v>-11550</v>
      </c>
    </row>
    <row r="56" spans="1:10" x14ac:dyDescent="0.35">
      <c r="A56" s="1">
        <v>46569</v>
      </c>
      <c r="B56" t="s">
        <v>9</v>
      </c>
      <c r="C56" s="3">
        <v>3500</v>
      </c>
      <c r="D56" s="2">
        <v>12</v>
      </c>
      <c r="E56" s="3">
        <v>42000</v>
      </c>
      <c r="F56" s="3">
        <v>53550</v>
      </c>
      <c r="G56" s="3">
        <v>-11550</v>
      </c>
    </row>
    <row r="57" spans="1:10" x14ac:dyDescent="0.35">
      <c r="A57" s="1">
        <v>46600</v>
      </c>
      <c r="B57" t="s">
        <v>9</v>
      </c>
      <c r="C57" s="3">
        <v>3500</v>
      </c>
      <c r="D57" s="2">
        <v>12</v>
      </c>
      <c r="E57" s="3">
        <v>42000</v>
      </c>
      <c r="F57" s="3">
        <v>53550</v>
      </c>
      <c r="G57" s="3">
        <v>-11550</v>
      </c>
    </row>
    <row r="58" spans="1:10" x14ac:dyDescent="0.35">
      <c r="A58" s="1">
        <v>46631</v>
      </c>
      <c r="B58" t="s">
        <v>9</v>
      </c>
      <c r="C58" s="3">
        <v>3500</v>
      </c>
      <c r="D58" s="2">
        <v>12</v>
      </c>
      <c r="E58" s="3">
        <v>42000</v>
      </c>
      <c r="F58" s="3">
        <v>53550</v>
      </c>
      <c r="G58" s="3">
        <v>-11550</v>
      </c>
    </row>
    <row r="59" spans="1:10" x14ac:dyDescent="0.35">
      <c r="A59" s="1">
        <v>46661</v>
      </c>
      <c r="B59" t="s">
        <v>9</v>
      </c>
      <c r="C59" s="3">
        <v>3500</v>
      </c>
      <c r="D59" s="2">
        <v>12</v>
      </c>
      <c r="E59" s="3">
        <v>42000</v>
      </c>
      <c r="F59" s="3">
        <v>53550</v>
      </c>
      <c r="G59" s="3">
        <v>-11550</v>
      </c>
    </row>
    <row r="60" spans="1:10" x14ac:dyDescent="0.35">
      <c r="A60" s="1">
        <v>46692</v>
      </c>
      <c r="B60" t="s">
        <v>9</v>
      </c>
      <c r="C60" s="3">
        <v>3500</v>
      </c>
      <c r="D60" s="2">
        <v>12</v>
      </c>
      <c r="E60" s="3">
        <v>42000</v>
      </c>
      <c r="F60" s="3">
        <v>53550</v>
      </c>
      <c r="G60" s="3">
        <v>-11550</v>
      </c>
    </row>
    <row r="61" spans="1:10" x14ac:dyDescent="0.35">
      <c r="A61" s="1">
        <v>46722</v>
      </c>
      <c r="B61" t="s">
        <v>9</v>
      </c>
      <c r="C61" s="3">
        <v>3500</v>
      </c>
      <c r="D61" s="2">
        <v>12</v>
      </c>
      <c r="E61" s="3">
        <v>42000</v>
      </c>
      <c r="F61" s="3">
        <v>53550</v>
      </c>
      <c r="G61" s="3">
        <v>-11550</v>
      </c>
    </row>
    <row r="62" spans="1:10" x14ac:dyDescent="0.35">
      <c r="A62" s="1">
        <v>46023</v>
      </c>
      <c r="B62" t="s">
        <v>9</v>
      </c>
      <c r="C62" s="3">
        <v>3500</v>
      </c>
      <c r="D62" s="2">
        <v>12</v>
      </c>
      <c r="E62" s="3">
        <v>42000</v>
      </c>
      <c r="F62" s="3">
        <v>53550</v>
      </c>
      <c r="G62" s="3">
        <v>-11550</v>
      </c>
    </row>
    <row r="63" spans="1:10" x14ac:dyDescent="0.35">
      <c r="A63" s="1">
        <v>46054</v>
      </c>
      <c r="B63" t="s">
        <v>9</v>
      </c>
      <c r="C63" s="3">
        <v>3500</v>
      </c>
      <c r="D63" s="2">
        <v>12</v>
      </c>
      <c r="E63" s="3">
        <v>42000</v>
      </c>
      <c r="F63" s="3">
        <v>53550</v>
      </c>
      <c r="G63" s="3">
        <v>-11550</v>
      </c>
    </row>
    <row r="64" spans="1:10" x14ac:dyDescent="0.35">
      <c r="A64" s="1">
        <v>46082</v>
      </c>
      <c r="B64" t="s">
        <v>9</v>
      </c>
      <c r="C64" s="3">
        <v>3500</v>
      </c>
      <c r="D64" s="2">
        <v>12</v>
      </c>
      <c r="E64" s="3">
        <v>42000</v>
      </c>
      <c r="F64" s="3">
        <v>53550</v>
      </c>
      <c r="G64" s="3">
        <v>-11550</v>
      </c>
    </row>
    <row r="65" spans="1:9" x14ac:dyDescent="0.35">
      <c r="A65" s="1">
        <v>46113</v>
      </c>
      <c r="B65" t="s">
        <v>9</v>
      </c>
      <c r="C65" s="3">
        <v>3500</v>
      </c>
      <c r="D65" s="2">
        <v>12</v>
      </c>
      <c r="E65" s="3">
        <v>42000</v>
      </c>
      <c r="F65" s="3">
        <v>53550</v>
      </c>
      <c r="G65" s="3">
        <v>-11550</v>
      </c>
    </row>
    <row r="66" spans="1:9" x14ac:dyDescent="0.35">
      <c r="A66" s="1">
        <v>46143</v>
      </c>
      <c r="B66" t="s">
        <v>9</v>
      </c>
      <c r="C66" s="3">
        <v>3500</v>
      </c>
      <c r="D66" s="2">
        <v>12</v>
      </c>
      <c r="E66" s="3">
        <v>42000</v>
      </c>
      <c r="F66" s="3">
        <v>53550</v>
      </c>
      <c r="G66" s="3">
        <v>-11550</v>
      </c>
    </row>
    <row r="67" spans="1:9" x14ac:dyDescent="0.35">
      <c r="A67" s="1">
        <v>46174</v>
      </c>
      <c r="B67" t="s">
        <v>9</v>
      </c>
      <c r="C67" s="3">
        <v>3500</v>
      </c>
      <c r="D67" s="2">
        <v>12</v>
      </c>
      <c r="E67" s="3">
        <v>42000</v>
      </c>
      <c r="F67" s="3">
        <v>53550</v>
      </c>
      <c r="G67" s="3">
        <v>-11550</v>
      </c>
    </row>
    <row r="68" spans="1:9" x14ac:dyDescent="0.35">
      <c r="A68" s="1">
        <v>46204</v>
      </c>
      <c r="B68" t="s">
        <v>9</v>
      </c>
      <c r="C68" s="3">
        <v>3500</v>
      </c>
      <c r="D68" s="2">
        <v>12</v>
      </c>
      <c r="E68" s="3">
        <v>42000</v>
      </c>
      <c r="F68" s="3">
        <v>53550</v>
      </c>
      <c r="G68" s="3">
        <v>-11550</v>
      </c>
    </row>
    <row r="69" spans="1:9" x14ac:dyDescent="0.35">
      <c r="A69" s="1">
        <v>46235</v>
      </c>
      <c r="B69" t="s">
        <v>9</v>
      </c>
      <c r="C69" s="3">
        <v>3500</v>
      </c>
      <c r="D69" s="2">
        <v>12</v>
      </c>
      <c r="E69" s="3">
        <v>42000</v>
      </c>
      <c r="F69" s="3">
        <v>53550</v>
      </c>
      <c r="G69" s="3">
        <v>-11550</v>
      </c>
    </row>
    <row r="70" spans="1:9" x14ac:dyDescent="0.35">
      <c r="A70" s="1">
        <v>46266</v>
      </c>
      <c r="B70" t="s">
        <v>9</v>
      </c>
      <c r="C70" s="3">
        <v>3500</v>
      </c>
      <c r="D70" s="2">
        <v>12</v>
      </c>
      <c r="E70" s="3">
        <v>42000</v>
      </c>
      <c r="F70" s="3">
        <v>53550</v>
      </c>
      <c r="G70" s="3">
        <v>-11550</v>
      </c>
    </row>
    <row r="71" spans="1:9" x14ac:dyDescent="0.35">
      <c r="A71" s="1">
        <v>46296</v>
      </c>
      <c r="B71" t="s">
        <v>9</v>
      </c>
      <c r="C71" s="3">
        <v>3500</v>
      </c>
      <c r="D71" s="2">
        <v>12</v>
      </c>
      <c r="E71" s="3">
        <v>42000</v>
      </c>
      <c r="F71" s="3">
        <v>53550</v>
      </c>
      <c r="G71" s="3">
        <v>-11550</v>
      </c>
    </row>
    <row r="72" spans="1:9" x14ac:dyDescent="0.35">
      <c r="A72" s="1">
        <v>46327</v>
      </c>
      <c r="B72" t="s">
        <v>9</v>
      </c>
      <c r="C72" s="3">
        <v>3500</v>
      </c>
      <c r="D72" s="2">
        <v>12</v>
      </c>
      <c r="E72" s="3">
        <v>42000</v>
      </c>
      <c r="F72" s="3">
        <v>53550</v>
      </c>
      <c r="G72" s="3">
        <v>-11550</v>
      </c>
    </row>
    <row r="73" spans="1:9" x14ac:dyDescent="0.35">
      <c r="A73" s="1">
        <v>46357</v>
      </c>
      <c r="B73" t="s">
        <v>9</v>
      </c>
      <c r="C73" s="3">
        <v>3500</v>
      </c>
      <c r="D73" s="2">
        <v>12</v>
      </c>
      <c r="E73" s="3">
        <v>42000</v>
      </c>
      <c r="F73" s="3">
        <v>53550</v>
      </c>
      <c r="G73" s="3">
        <v>-11550</v>
      </c>
    </row>
    <row r="76" spans="1:9" x14ac:dyDescent="0.35">
      <c r="C76" s="79" t="s">
        <v>39</v>
      </c>
      <c r="D76" s="45">
        <v>1</v>
      </c>
      <c r="I76" s="3"/>
    </row>
    <row r="77" spans="1:9" x14ac:dyDescent="0.35">
      <c r="C77" s="40" t="s">
        <v>8</v>
      </c>
      <c r="D77" s="80">
        <v>1</v>
      </c>
      <c r="I77" s="80">
        <v>1</v>
      </c>
    </row>
    <row r="78" spans="1:9" x14ac:dyDescent="0.35">
      <c r="C78" s="40" t="s">
        <v>7</v>
      </c>
      <c r="D78" s="80">
        <v>1.3</v>
      </c>
      <c r="I78" s="80">
        <v>1.3</v>
      </c>
    </row>
    <row r="79" spans="1:9" x14ac:dyDescent="0.35">
      <c r="C79" s="40" t="s">
        <v>9</v>
      </c>
      <c r="D79" s="80">
        <v>0.7</v>
      </c>
      <c r="I79" s="80">
        <v>0.7</v>
      </c>
    </row>
    <row r="80" spans="1:9" x14ac:dyDescent="0.35">
      <c r="H80" s="19"/>
    </row>
    <row r="82" spans="3:9" x14ac:dyDescent="0.35">
      <c r="C82" s="79" t="s">
        <v>40</v>
      </c>
      <c r="D82" s="45">
        <v>1</v>
      </c>
      <c r="I82" s="3"/>
    </row>
    <row r="83" spans="3:9" x14ac:dyDescent="0.35">
      <c r="C83" s="40" t="s">
        <v>8</v>
      </c>
      <c r="D83" s="46">
        <v>1</v>
      </c>
      <c r="I83" s="46">
        <v>0.8</v>
      </c>
    </row>
    <row r="84" spans="3:9" x14ac:dyDescent="0.35">
      <c r="C84" s="40" t="s">
        <v>7</v>
      </c>
      <c r="D84" s="46">
        <v>1.1666666666666667</v>
      </c>
      <c r="E84" s="20"/>
      <c r="I84" s="46">
        <v>1.1666666666666667</v>
      </c>
    </row>
    <row r="85" spans="3:9" x14ac:dyDescent="0.35">
      <c r="C85" s="40" t="s">
        <v>9</v>
      </c>
      <c r="D85" s="46">
        <v>0.8</v>
      </c>
      <c r="I85" s="46">
        <v>1</v>
      </c>
    </row>
  </sheetData>
  <sortState xmlns:xlrd2="http://schemas.microsoft.com/office/spreadsheetml/2017/richdata2" ref="A2:G73">
    <sortCondition ref="B1:B73"/>
  </sortState>
  <conditionalFormatting sqref="B1:B1048576">
    <cfRule type="containsText" dxfId="5" priority="5" operator="containsText" text="Base">
      <formula>NOT(ISERROR(SEARCH("Base",B1)))</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4" operator="containsText" id="{72F3C3F0-8009-4685-9A9D-9D7F67C71FA3}">
            <xm:f>NOT(ISERROR(SEARCH($B$2,B1)))</xm:f>
            <xm:f>$B$2</xm:f>
            <x14:dxf>
              <font>
                <color theme="0"/>
              </font>
              <fill>
                <patternFill>
                  <bgColor rgb="FFFFFF00"/>
                </patternFill>
              </fill>
            </x14:dxf>
          </x14:cfRule>
          <x14:cfRule type="containsText" priority="3" operator="containsText" id="{47290704-7447-497C-BCCE-E861A10DAAFF}">
            <xm:f>NOT(ISERROR(SEARCH($B$2,B1)))</xm:f>
            <xm:f>$B$2</xm:f>
            <x14:dxf>
              <font>
                <color theme="1"/>
              </font>
            </x14:dxf>
          </x14:cfRule>
          <x14:cfRule type="containsText" priority="2" operator="containsText" id="{6138F575-64B3-4C1E-A998-82CD499E360B}">
            <xm:f>NOT(ISERROR(SEARCH($B$26,B1)))</xm:f>
            <xm:f>$B$26</xm:f>
            <x14:dxf>
              <fill>
                <patternFill>
                  <bgColor theme="9" tint="-0.24994659260841701"/>
                </patternFill>
              </fill>
            </x14:dxf>
          </x14:cfRule>
          <x14:cfRule type="containsText" priority="1" operator="containsText" id="{0422C538-6B65-40EF-B686-C2CFC6C7CA44}">
            <xm:f>NOT(ISERROR(SEARCH($B$70,B1)))</xm:f>
            <xm:f>$B$70</xm:f>
            <x14:dxf>
              <fill>
                <patternFill>
                  <bgColor rgb="FFFF0000"/>
                </patternFill>
              </fill>
            </x14:dxf>
          </x14:cfRule>
          <xm:sqref>B1:B1048576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870A7-259D-4BBF-9682-62E9D5A2E275}">
  <sheetPr>
    <tabColor theme="1" tint="0.499984740745262"/>
  </sheetPr>
  <dimension ref="A1:K22"/>
  <sheetViews>
    <sheetView showGridLines="0" workbookViewId="0">
      <selection sqref="A1:C1"/>
    </sheetView>
  </sheetViews>
  <sheetFormatPr defaultRowHeight="14.5" x14ac:dyDescent="0.35"/>
  <cols>
    <col min="1" max="1" width="16.81640625" bestFit="1" customWidth="1"/>
    <col min="2" max="2" width="19.81640625" customWidth="1"/>
    <col min="3" max="3" width="6.54296875" customWidth="1"/>
  </cols>
  <sheetData>
    <row r="1" spans="1:5" x14ac:dyDescent="0.35">
      <c r="A1" t="s">
        <v>10</v>
      </c>
      <c r="B1" t="s">
        <v>11</v>
      </c>
      <c r="C1" t="s">
        <v>12</v>
      </c>
    </row>
    <row r="2" spans="1:5" x14ac:dyDescent="0.35">
      <c r="A2" t="s">
        <v>15</v>
      </c>
      <c r="B2" s="3">
        <v>12000</v>
      </c>
      <c r="C2" t="s">
        <v>16</v>
      </c>
      <c r="E2" s="16"/>
    </row>
    <row r="3" spans="1:5" x14ac:dyDescent="0.35">
      <c r="A3" t="s">
        <v>17</v>
      </c>
      <c r="B3" s="3">
        <v>30000</v>
      </c>
      <c r="C3" t="s">
        <v>16</v>
      </c>
      <c r="E3" s="16"/>
    </row>
    <row r="4" spans="1:5" x14ac:dyDescent="0.35">
      <c r="A4" t="s">
        <v>19</v>
      </c>
      <c r="B4" s="3">
        <v>5000</v>
      </c>
      <c r="C4" t="s">
        <v>16</v>
      </c>
      <c r="E4" s="16"/>
    </row>
    <row r="5" spans="1:5" x14ac:dyDescent="0.35">
      <c r="A5" t="s">
        <v>20</v>
      </c>
      <c r="B5" s="3">
        <v>4000</v>
      </c>
      <c r="C5" t="s">
        <v>16</v>
      </c>
      <c r="E5" s="16"/>
    </row>
    <row r="6" spans="1:5" x14ac:dyDescent="0.35">
      <c r="A6" t="s">
        <v>13</v>
      </c>
      <c r="B6" s="3">
        <v>250000</v>
      </c>
      <c r="C6" t="s">
        <v>14</v>
      </c>
    </row>
    <row r="7" spans="1:5" x14ac:dyDescent="0.35">
      <c r="A7" t="s">
        <v>18</v>
      </c>
      <c r="B7" s="3">
        <v>15000</v>
      </c>
      <c r="C7" t="s">
        <v>14</v>
      </c>
    </row>
    <row r="8" spans="1:5" x14ac:dyDescent="0.35">
      <c r="A8" t="s">
        <v>21</v>
      </c>
      <c r="B8" s="3">
        <v>20000</v>
      </c>
      <c r="C8" t="s">
        <v>14</v>
      </c>
    </row>
    <row r="9" spans="1:5" x14ac:dyDescent="0.35">
      <c r="A9" t="s">
        <v>22</v>
      </c>
      <c r="B9" s="3">
        <v>10000</v>
      </c>
      <c r="C9" t="s">
        <v>14</v>
      </c>
    </row>
    <row r="10" spans="1:5" x14ac:dyDescent="0.35">
      <c r="A10" t="s">
        <v>23</v>
      </c>
      <c r="B10" s="3">
        <v>50000</v>
      </c>
      <c r="C10" t="s">
        <v>16</v>
      </c>
    </row>
    <row r="11" spans="1:5" x14ac:dyDescent="0.35">
      <c r="A11" t="s">
        <v>24</v>
      </c>
      <c r="B11" s="3">
        <v>10000</v>
      </c>
      <c r="C11" t="s">
        <v>14</v>
      </c>
    </row>
    <row r="12" spans="1:5" x14ac:dyDescent="0.35">
      <c r="B12" s="3"/>
    </row>
    <row r="13" spans="1:5" x14ac:dyDescent="0.35">
      <c r="A13" s="21" t="s">
        <v>34</v>
      </c>
      <c r="B13" s="45">
        <v>7</v>
      </c>
    </row>
    <row r="14" spans="1:5" x14ac:dyDescent="0.35">
      <c r="A14" s="21" t="s">
        <v>33</v>
      </c>
      <c r="B14" s="45">
        <v>4</v>
      </c>
    </row>
    <row r="15" spans="1:5" x14ac:dyDescent="0.35">
      <c r="A15" s="21" t="s">
        <v>31</v>
      </c>
      <c r="B15" s="45">
        <v>12</v>
      </c>
    </row>
    <row r="16" spans="1:5" x14ac:dyDescent="0.35">
      <c r="A16" s="21" t="s">
        <v>32</v>
      </c>
      <c r="B16" s="45">
        <v>2</v>
      </c>
    </row>
    <row r="19" spans="1:11" x14ac:dyDescent="0.35">
      <c r="A19" s="21" t="s">
        <v>48</v>
      </c>
      <c r="B19" s="40">
        <v>1</v>
      </c>
    </row>
    <row r="20" spans="1:11" x14ac:dyDescent="0.35">
      <c r="A20" t="s">
        <v>8</v>
      </c>
      <c r="B20" s="46">
        <v>1</v>
      </c>
      <c r="K20" s="27">
        <v>1</v>
      </c>
    </row>
    <row r="21" spans="1:11" x14ac:dyDescent="0.35">
      <c r="A21" t="s">
        <v>7</v>
      </c>
      <c r="B21" s="46">
        <v>0.9</v>
      </c>
      <c r="K21" s="27">
        <v>0.9</v>
      </c>
    </row>
    <row r="22" spans="1:11" x14ac:dyDescent="0.35">
      <c r="A22" t="s">
        <v>9</v>
      </c>
      <c r="B22" s="46">
        <v>1.05</v>
      </c>
      <c r="K22" s="27">
        <v>1.05</v>
      </c>
    </row>
  </sheetData>
  <sortState xmlns:xlrd2="http://schemas.microsoft.com/office/spreadsheetml/2017/richdata2" ref="A2:C11">
    <sortCondition descending="1" ref="C1:C11"/>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C89B9-55F2-480B-9933-25B6CB55E49D}">
  <dimension ref="A1:I40"/>
  <sheetViews>
    <sheetView showGridLines="0" workbookViewId="0">
      <pane ySplit="7" topLeftCell="A8" activePane="bottomLeft" state="frozen"/>
      <selection activeCell="G29" sqref="G29"/>
      <selection pane="bottomLeft"/>
    </sheetView>
  </sheetViews>
  <sheetFormatPr defaultColWidth="8.90625" defaultRowHeight="13" x14ac:dyDescent="0.3"/>
  <cols>
    <col min="1" max="1" width="15.08984375" style="4" bestFit="1" customWidth="1"/>
    <col min="2" max="2" width="17.7265625" style="4" customWidth="1"/>
    <col min="3" max="3" width="15.6328125" style="4" bestFit="1" customWidth="1"/>
    <col min="4" max="4" width="8.90625" style="4"/>
    <col min="5" max="5" width="9.453125" style="4" customWidth="1"/>
    <col min="6" max="6" width="10.26953125" style="4" customWidth="1"/>
    <col min="7" max="7" width="9.453125" style="4" bestFit="1" customWidth="1"/>
    <col min="8" max="16384" width="8.90625" style="4"/>
  </cols>
  <sheetData>
    <row r="1" spans="1:9" ht="15.5" customHeight="1" x14ac:dyDescent="0.3">
      <c r="A1" s="5" t="s">
        <v>47</v>
      </c>
    </row>
    <row r="2" spans="1:9" ht="15.5" customHeight="1" x14ac:dyDescent="0.3">
      <c r="A2" s="5" t="s">
        <v>50</v>
      </c>
    </row>
    <row r="3" spans="1:9" ht="15.5" customHeight="1" x14ac:dyDescent="0.3">
      <c r="A3" s="5" t="s">
        <v>53</v>
      </c>
    </row>
    <row r="4" spans="1:9" ht="14.5" x14ac:dyDescent="0.35">
      <c r="E4" s="75" t="s">
        <v>25</v>
      </c>
      <c r="F4" s="75"/>
    </row>
    <row r="5" spans="1:9" x14ac:dyDescent="0.3">
      <c r="B5" s="74" t="s">
        <v>26</v>
      </c>
      <c r="C5" s="74"/>
      <c r="D5" s="74"/>
      <c r="E5" s="74"/>
      <c r="F5" s="74"/>
      <c r="G5" s="74"/>
      <c r="H5" s="74"/>
      <c r="I5" s="74"/>
    </row>
    <row r="7" spans="1:9" ht="13.5" thickBot="1" x14ac:dyDescent="0.35">
      <c r="E7" s="7">
        <v>2025</v>
      </c>
      <c r="F7" s="7">
        <v>2026</v>
      </c>
      <c r="G7" s="7">
        <v>2027</v>
      </c>
    </row>
    <row r="8" spans="1:9" x14ac:dyDescent="0.3">
      <c r="B8" s="4" t="s">
        <v>42</v>
      </c>
      <c r="C8" s="4">
        <v>12</v>
      </c>
      <c r="E8" s="6"/>
      <c r="F8" s="6"/>
      <c r="G8" s="6"/>
    </row>
    <row r="10" spans="1:9" x14ac:dyDescent="0.3">
      <c r="B10" s="11" t="s">
        <v>35</v>
      </c>
      <c r="C10" s="9"/>
      <c r="D10" s="9"/>
      <c r="E10" s="12"/>
      <c r="F10" s="12"/>
      <c r="G10" s="12"/>
    </row>
    <row r="11" spans="1:9" x14ac:dyDescent="0.3">
      <c r="B11" s="6"/>
      <c r="E11" s="14"/>
      <c r="F11" s="14"/>
      <c r="G11" s="14"/>
    </row>
    <row r="12" spans="1:9" x14ac:dyDescent="0.3">
      <c r="C12" s="6" t="s">
        <v>13</v>
      </c>
      <c r="E12" s="13"/>
      <c r="F12" s="34">
        <f>'Cost Assumptions'!B6</f>
        <v>250000</v>
      </c>
      <c r="G12" s="34">
        <v>0</v>
      </c>
    </row>
    <row r="13" spans="1:9" x14ac:dyDescent="0.3">
      <c r="C13" s="6" t="s">
        <v>18</v>
      </c>
      <c r="E13" s="13"/>
      <c r="F13" s="34">
        <f>'Cost Assumptions'!B7</f>
        <v>15000</v>
      </c>
      <c r="G13" s="34">
        <v>0</v>
      </c>
    </row>
    <row r="14" spans="1:9" x14ac:dyDescent="0.3">
      <c r="C14" s="6" t="s">
        <v>21</v>
      </c>
      <c r="E14" s="13"/>
      <c r="F14" s="34">
        <f>'Cost Assumptions'!B8</f>
        <v>20000</v>
      </c>
      <c r="G14" s="34">
        <v>0</v>
      </c>
    </row>
    <row r="15" spans="1:9" x14ac:dyDescent="0.3">
      <c r="C15" s="6" t="s">
        <v>22</v>
      </c>
      <c r="E15" s="13"/>
      <c r="F15" s="34">
        <f>'Cost Assumptions'!B9</f>
        <v>10000</v>
      </c>
      <c r="G15" s="34">
        <v>0</v>
      </c>
    </row>
    <row r="16" spans="1:9" x14ac:dyDescent="0.3">
      <c r="C16" s="6" t="s">
        <v>24</v>
      </c>
      <c r="E16" s="13"/>
      <c r="F16" s="34">
        <f>'Cost Assumptions'!B11</f>
        <v>10000</v>
      </c>
      <c r="G16" s="34">
        <v>0</v>
      </c>
    </row>
    <row r="17" spans="2:9" ht="13.5" thickBot="1" x14ac:dyDescent="0.35">
      <c r="B17" s="6" t="s">
        <v>37</v>
      </c>
      <c r="F17" s="33">
        <f>SUM(F12:F16)</f>
        <v>305000</v>
      </c>
      <c r="G17" s="33">
        <f>SUM(G12:G16)</f>
        <v>0</v>
      </c>
    </row>
    <row r="18" spans="2:9" ht="13.5" thickTop="1" x14ac:dyDescent="0.3"/>
    <row r="20" spans="2:9" x14ac:dyDescent="0.3">
      <c r="B20" s="11" t="s">
        <v>36</v>
      </c>
      <c r="C20" s="9"/>
      <c r="D20" s="9"/>
      <c r="E20" s="12"/>
      <c r="F20" s="12"/>
      <c r="G20" s="12"/>
    </row>
    <row r="22" spans="2:9" x14ac:dyDescent="0.3">
      <c r="C22" s="6" t="s">
        <v>83</v>
      </c>
      <c r="F22" s="34" cm="1">
        <f t="array" ref="F22">INDEX('Cost Assumptions'!$B$20:$B$22,'Cost Assumptions'!$B$19)*('Cost Assumptions'!B10)</f>
        <v>50000</v>
      </c>
      <c r="G22" s="34">
        <f>F22</f>
        <v>50000</v>
      </c>
    </row>
    <row r="23" spans="2:9" x14ac:dyDescent="0.3">
      <c r="C23" s="6" t="s">
        <v>27</v>
      </c>
      <c r="F23" s="34" cm="1">
        <f t="array" ref="F23">INDEX('Cost Assumptions'!$B$20:$B$22,'Cost Assumptions'!$B$19)*('Cost Assumptions'!B2*$C$8)</f>
        <v>144000</v>
      </c>
      <c r="G23" s="34" cm="1">
        <f t="array" ref="G23">INDEX('Cost Assumptions'!$B$20:$B$22,'Cost Assumptions'!$B$19)*('Cost Assumptions'!B2*$C$8)</f>
        <v>144000</v>
      </c>
    </row>
    <row r="24" spans="2:9" x14ac:dyDescent="0.3">
      <c r="C24" s="6" t="s">
        <v>28</v>
      </c>
      <c r="F24" s="34" cm="1">
        <f t="array" ref="F24">INDEX('Cost Assumptions'!$B$20:$B$22,'Cost Assumptions'!$B$19)*('Cost Assumptions'!B3*$C$8)</f>
        <v>360000</v>
      </c>
      <c r="G24" s="34" cm="1">
        <f t="array" ref="G24">INDEX('Cost Assumptions'!$B$20:$B$22,'Cost Assumptions'!$B$19)*('Cost Assumptions'!B3*$C$8)</f>
        <v>360000</v>
      </c>
    </row>
    <row r="25" spans="2:9" x14ac:dyDescent="0.3">
      <c r="C25" s="6" t="s">
        <v>29</v>
      </c>
      <c r="F25" s="34" cm="1">
        <f t="array" ref="F25">INDEX('Cost Assumptions'!$B$20:$B$22,'Cost Assumptions'!$B$19)*('Cost Assumptions'!B4*$C$8)</f>
        <v>60000</v>
      </c>
      <c r="G25" s="34" cm="1">
        <f t="array" ref="G25">INDEX('Cost Assumptions'!$B$20:$B$22,'Cost Assumptions'!$B$19)*('Cost Assumptions'!B4*$C$8)</f>
        <v>60000</v>
      </c>
    </row>
    <row r="26" spans="2:9" x14ac:dyDescent="0.3">
      <c r="C26" s="6" t="s">
        <v>30</v>
      </c>
      <c r="F26" s="34" cm="1">
        <f t="array" ref="F26">INDEX('Cost Assumptions'!$B$20:$B$22,'Cost Assumptions'!$B$19)*('Cost Assumptions'!B5*$C$8)</f>
        <v>48000</v>
      </c>
      <c r="G26" s="34" cm="1">
        <f t="array" ref="G26">INDEX('Cost Assumptions'!$B$20:$B$22,'Cost Assumptions'!$B$19)*('Cost Assumptions'!B5*$C$8)</f>
        <v>48000</v>
      </c>
    </row>
    <row r="27" spans="2:9" ht="13.5" thickBot="1" x14ac:dyDescent="0.35">
      <c r="B27" s="6" t="s">
        <v>38</v>
      </c>
      <c r="F27" s="15">
        <f>SUM(F22:F26)</f>
        <v>662000</v>
      </c>
      <c r="G27" s="15">
        <f>SUM(G22:G26)</f>
        <v>662000</v>
      </c>
    </row>
    <row r="28" spans="2:9" ht="13.5" thickTop="1" x14ac:dyDescent="0.3"/>
    <row r="30" spans="2:9" x14ac:dyDescent="0.3">
      <c r="B30" s="11" t="s">
        <v>41</v>
      </c>
      <c r="C30" s="9"/>
      <c r="D30" s="9"/>
      <c r="E30" s="12"/>
      <c r="F30" s="12"/>
      <c r="G30" s="12"/>
    </row>
    <row r="32" spans="2:9" x14ac:dyDescent="0.3">
      <c r="B32" s="6" t="s">
        <v>39</v>
      </c>
      <c r="D32" s="17"/>
      <c r="F32" s="34" cm="1">
        <f t="array" ref="F32">INDEX('Revenue Assumptions'!$D$77:$D$79,'Revenue Assumptions'!$D$76)*('Revenue Assumptions'!C2)</f>
        <v>5000</v>
      </c>
      <c r="G32" s="34">
        <f>F32</f>
        <v>5000</v>
      </c>
      <c r="I32" s="18"/>
    </row>
    <row r="33" spans="2:7" x14ac:dyDescent="0.3">
      <c r="B33" s="6"/>
      <c r="D33" s="17"/>
      <c r="F33" s="35"/>
      <c r="G33" s="35"/>
    </row>
    <row r="34" spans="2:7" x14ac:dyDescent="0.3">
      <c r="B34" s="6" t="s">
        <v>40</v>
      </c>
      <c r="D34" s="17"/>
      <c r="F34" s="35" cm="1">
        <f t="array" ref="F34">INDEX('Revenue Assumptions'!$D$83:$D$85,'Revenue Assumptions'!$D$82)*('Revenue Assumptions'!D2)</f>
        <v>15</v>
      </c>
      <c r="G34" s="35">
        <f>F34</f>
        <v>15</v>
      </c>
    </row>
    <row r="36" spans="2:7" ht="13.5" thickBot="1" x14ac:dyDescent="0.35">
      <c r="B36" s="6" t="s">
        <v>45</v>
      </c>
      <c r="F36" s="15">
        <f>F32*F34*$C$8</f>
        <v>900000</v>
      </c>
      <c r="G36" s="15">
        <f>G32*G34*$C$8</f>
        <v>900000</v>
      </c>
    </row>
    <row r="37" spans="2:7" ht="13.5" thickTop="1" x14ac:dyDescent="0.3"/>
    <row r="39" spans="2:7" ht="13.5" thickBot="1" x14ac:dyDescent="0.35">
      <c r="B39" s="6" t="s">
        <v>46</v>
      </c>
      <c r="F39" s="15">
        <f>F36-F27</f>
        <v>238000</v>
      </c>
      <c r="G39" s="15">
        <f>G36-G27</f>
        <v>238000</v>
      </c>
    </row>
    <row r="40" spans="2:7" ht="13.5" thickTop="1" x14ac:dyDescent="0.3"/>
  </sheetData>
  <mergeCells count="1">
    <mergeCell ref="E4:F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7" r:id="rId3" name="Drop Down 3">
              <controlPr defaultSize="0" autoLine="0" autoPict="0">
                <anchor moveWithCells="1">
                  <from>
                    <xdr:col>1</xdr:col>
                    <xdr:colOff>222250</xdr:colOff>
                    <xdr:row>0</xdr:row>
                    <xdr:rowOff>38100</xdr:rowOff>
                  </from>
                  <to>
                    <xdr:col>1</xdr:col>
                    <xdr:colOff>990600</xdr:colOff>
                    <xdr:row>0</xdr:row>
                    <xdr:rowOff>165100</xdr:rowOff>
                  </to>
                </anchor>
              </controlPr>
            </control>
          </mc:Choice>
        </mc:AlternateContent>
        <mc:AlternateContent xmlns:mc="http://schemas.openxmlformats.org/markup-compatibility/2006">
          <mc:Choice Requires="x14">
            <control shapeId="1028" r:id="rId4" name="Drop Down 4">
              <controlPr defaultSize="0" autoLine="0" autoPict="0">
                <anchor moveWithCells="1">
                  <from>
                    <xdr:col>1</xdr:col>
                    <xdr:colOff>209550</xdr:colOff>
                    <xdr:row>1</xdr:row>
                    <xdr:rowOff>38100</xdr:rowOff>
                  </from>
                  <to>
                    <xdr:col>1</xdr:col>
                    <xdr:colOff>990600</xdr:colOff>
                    <xdr:row>1</xdr:row>
                    <xdr:rowOff>152400</xdr:rowOff>
                  </to>
                </anchor>
              </controlPr>
            </control>
          </mc:Choice>
        </mc:AlternateContent>
        <mc:AlternateContent xmlns:mc="http://schemas.openxmlformats.org/markup-compatibility/2006">
          <mc:Choice Requires="x14">
            <control shapeId="1029" r:id="rId5" name="Drop Down 5">
              <controlPr defaultSize="0" autoLine="0" autoPict="0">
                <anchor moveWithCells="1">
                  <from>
                    <xdr:col>1</xdr:col>
                    <xdr:colOff>209550</xdr:colOff>
                    <xdr:row>2</xdr:row>
                    <xdr:rowOff>38100</xdr:rowOff>
                  </from>
                  <to>
                    <xdr:col>1</xdr:col>
                    <xdr:colOff>977900</xdr:colOff>
                    <xdr:row>2</xdr:row>
                    <xdr:rowOff>152400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showGridLines="0" workbookViewId="0"/>
  </sheetViews>
  <sheetFormatPr defaultRowHeight="14.5" x14ac:dyDescent="0.35"/>
  <cols>
    <col min="1" max="1" width="15.08984375" bestFit="1" customWidth="1"/>
    <col min="2" max="2" width="17.7265625" customWidth="1"/>
    <col min="3" max="3" width="10.1796875" bestFit="1" customWidth="1"/>
    <col min="5" max="5" width="8.90625" bestFit="1" customWidth="1"/>
    <col min="6" max="6" width="11.26953125" bestFit="1" customWidth="1"/>
    <col min="7" max="7" width="11.1796875" bestFit="1" customWidth="1"/>
  </cols>
  <sheetData>
    <row r="1" spans="1:9" s="4" customFormat="1" ht="15.5" customHeight="1" x14ac:dyDescent="0.3">
      <c r="A1" s="5" t="s">
        <v>47</v>
      </c>
    </row>
    <row r="2" spans="1:9" s="4" customFormat="1" ht="15.5" customHeight="1" x14ac:dyDescent="0.3">
      <c r="A2" s="5" t="s">
        <v>50</v>
      </c>
    </row>
    <row r="3" spans="1:9" s="4" customFormat="1" ht="15.5" customHeight="1" x14ac:dyDescent="0.3">
      <c r="A3" s="5" t="s">
        <v>53</v>
      </c>
    </row>
    <row r="4" spans="1:9" s="4" customFormat="1" x14ac:dyDescent="0.35">
      <c r="E4" s="75" t="s">
        <v>25</v>
      </c>
      <c r="F4" s="75"/>
    </row>
    <row r="5" spans="1:9" s="4" customFormat="1" ht="13" x14ac:dyDescent="0.3">
      <c r="B5" s="74" t="s">
        <v>43</v>
      </c>
      <c r="C5" s="74"/>
      <c r="D5" s="74"/>
      <c r="E5" s="74"/>
      <c r="F5" s="74"/>
      <c r="G5" s="74"/>
      <c r="H5" s="74"/>
      <c r="I5" s="74"/>
    </row>
    <row r="6" spans="1:9" s="4" customFormat="1" ht="13" x14ac:dyDescent="0.3"/>
    <row r="7" spans="1:9" s="4" customFormat="1" ht="13.5" thickBot="1" x14ac:dyDescent="0.35">
      <c r="E7" s="76">
        <v>2025</v>
      </c>
      <c r="F7" s="76">
        <v>2026</v>
      </c>
      <c r="G7" s="76">
        <v>2027</v>
      </c>
    </row>
    <row r="8" spans="1:9" s="4" customFormat="1" ht="13" x14ac:dyDescent="0.3">
      <c r="E8" s="6"/>
      <c r="F8" s="6"/>
      <c r="G8" s="6"/>
    </row>
    <row r="9" spans="1:9" s="4" customFormat="1" ht="13" x14ac:dyDescent="0.3"/>
    <row r="10" spans="1:9" s="4" customFormat="1" ht="13" x14ac:dyDescent="0.3">
      <c r="B10" s="11" t="s">
        <v>44</v>
      </c>
      <c r="C10" s="9"/>
      <c r="D10" s="9"/>
      <c r="E10" s="12"/>
      <c r="F10" s="12"/>
      <c r="G10" s="12"/>
    </row>
    <row r="11" spans="1:9" s="4" customFormat="1" ht="13" x14ac:dyDescent="0.3">
      <c r="B11" s="6"/>
      <c r="E11" s="14"/>
      <c r="F11" s="14"/>
      <c r="G11" s="14"/>
    </row>
    <row r="12" spans="1:9" x14ac:dyDescent="0.35">
      <c r="B12" s="21" t="s">
        <v>37</v>
      </c>
      <c r="E12" s="36">
        <f>Workings!E17</f>
        <v>0</v>
      </c>
      <c r="F12" s="37">
        <f>Workings!F17</f>
        <v>305000</v>
      </c>
      <c r="G12" s="38">
        <f>Workings!G17</f>
        <v>0</v>
      </c>
    </row>
    <row r="13" spans="1:9" x14ac:dyDescent="0.35">
      <c r="B13" s="21"/>
      <c r="E13" s="39"/>
      <c r="F13" s="40"/>
      <c r="G13" s="41"/>
    </row>
    <row r="14" spans="1:9" x14ac:dyDescent="0.35">
      <c r="B14" s="21" t="s">
        <v>38</v>
      </c>
      <c r="E14" s="42" cm="1">
        <f t="array" ref="E14">INDEX('Cost Assumptions'!$B$20:$B$22,'Cost Assumptions'!$B$19)*(Workings!E27)</f>
        <v>0</v>
      </c>
      <c r="F14" s="43" cm="1">
        <f t="array" ref="F14">INDEX('Cost Assumptions'!$B$20:$B$22,'Cost Assumptions'!$B$19)*(Workings!F27)</f>
        <v>662000</v>
      </c>
      <c r="G14" s="44" cm="1">
        <f t="array" ref="G14">INDEX('Cost Assumptions'!$B$20:$B$22,'Cost Assumptions'!$B$19)*(Workings!G27)</f>
        <v>662000</v>
      </c>
    </row>
    <row r="16" spans="1:9" s="21" customFormat="1" ht="15" thickBot="1" x14ac:dyDescent="0.4">
      <c r="B16" s="21" t="s">
        <v>44</v>
      </c>
      <c r="E16" s="22">
        <f>SUM(E12:E14)</f>
        <v>0</v>
      </c>
      <c r="F16" s="22">
        <f t="shared" ref="F16:G16" si="0">SUM(F12:F14)</f>
        <v>967000</v>
      </c>
      <c r="G16" s="22">
        <f t="shared" si="0"/>
        <v>662000</v>
      </c>
    </row>
    <row r="18" spans="2:3" x14ac:dyDescent="0.35">
      <c r="B18" s="21" t="s">
        <v>90</v>
      </c>
      <c r="C18" s="77">
        <f>F14/Workings!C8</f>
        <v>55166.666666666664</v>
      </c>
    </row>
  </sheetData>
  <mergeCells count="1">
    <mergeCell ref="E4:F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Drop Down 2">
              <controlPr defaultSize="0" autoLine="0" autoPict="0">
                <anchor moveWithCells="1">
                  <from>
                    <xdr:col>1</xdr:col>
                    <xdr:colOff>209550</xdr:colOff>
                    <xdr:row>0</xdr:row>
                    <xdr:rowOff>19050</xdr:rowOff>
                  </from>
                  <to>
                    <xdr:col>1</xdr:col>
                    <xdr:colOff>990600</xdr:colOff>
                    <xdr:row>0</xdr:row>
                    <xdr:rowOff>152400</xdr:rowOff>
                  </to>
                </anchor>
              </controlPr>
            </control>
          </mc:Choice>
        </mc:AlternateContent>
        <mc:AlternateContent xmlns:mc="http://schemas.openxmlformats.org/markup-compatibility/2006">
          <mc:Choice Requires="x14">
            <control shapeId="9219" r:id="rId4" name="Drop Down 3">
              <controlPr defaultSize="0" autoLine="0" autoPict="0">
                <anchor moveWithCells="1">
                  <from>
                    <xdr:col>1</xdr:col>
                    <xdr:colOff>209550</xdr:colOff>
                    <xdr:row>1</xdr:row>
                    <xdr:rowOff>38100</xdr:rowOff>
                  </from>
                  <to>
                    <xdr:col>1</xdr:col>
                    <xdr:colOff>990600</xdr:colOff>
                    <xdr:row>1</xdr:row>
                    <xdr:rowOff>152400</xdr:rowOff>
                  </to>
                </anchor>
              </controlPr>
            </control>
          </mc:Choice>
        </mc:AlternateContent>
        <mc:AlternateContent xmlns:mc="http://schemas.openxmlformats.org/markup-compatibility/2006">
          <mc:Choice Requires="x14">
            <control shapeId="9220" r:id="rId5" name="Drop Down 4">
              <controlPr defaultSize="0" autoLine="0" autoPict="0">
                <anchor moveWithCells="1">
                  <from>
                    <xdr:col>1</xdr:col>
                    <xdr:colOff>209550</xdr:colOff>
                    <xdr:row>2</xdr:row>
                    <xdr:rowOff>38100</xdr:rowOff>
                  </from>
                  <to>
                    <xdr:col>1</xdr:col>
                    <xdr:colOff>977900</xdr:colOff>
                    <xdr:row>2</xdr:row>
                    <xdr:rowOff>152400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1"/>
  <sheetViews>
    <sheetView showGridLines="0" workbookViewId="0">
      <pane ySplit="6" topLeftCell="A7" activePane="bottomLeft" state="frozen"/>
      <selection activeCell="G29" sqref="G29"/>
      <selection pane="bottomLeft"/>
    </sheetView>
  </sheetViews>
  <sheetFormatPr defaultRowHeight="14.5" x14ac:dyDescent="0.35"/>
  <cols>
    <col min="1" max="1" width="15.08984375" bestFit="1" customWidth="1"/>
    <col min="2" max="2" width="17.7265625" customWidth="1"/>
    <col min="5" max="5" width="9" bestFit="1" customWidth="1"/>
    <col min="6" max="7" width="11.1796875" bestFit="1" customWidth="1"/>
    <col min="9" max="9" width="10.1796875" bestFit="1" customWidth="1"/>
  </cols>
  <sheetData>
    <row r="1" spans="1:9" s="4" customFormat="1" ht="15.5" customHeight="1" x14ac:dyDescent="0.3">
      <c r="A1" s="5" t="s">
        <v>47</v>
      </c>
    </row>
    <row r="2" spans="1:9" s="4" customFormat="1" ht="15.5" customHeight="1" x14ac:dyDescent="0.3">
      <c r="A2" s="5" t="s">
        <v>50</v>
      </c>
    </row>
    <row r="3" spans="1:9" s="4" customFormat="1" ht="15.5" customHeight="1" x14ac:dyDescent="0.3">
      <c r="A3" s="5" t="s">
        <v>53</v>
      </c>
    </row>
    <row r="4" spans="1:9" s="4" customFormat="1" x14ac:dyDescent="0.35">
      <c r="E4" s="75" t="s">
        <v>25</v>
      </c>
      <c r="F4" s="75"/>
    </row>
    <row r="5" spans="1:9" s="4" customFormat="1" ht="13" x14ac:dyDescent="0.3">
      <c r="B5" s="74" t="s">
        <v>45</v>
      </c>
      <c r="C5" s="74"/>
      <c r="D5" s="74"/>
      <c r="E5" s="74"/>
      <c r="F5" s="74"/>
      <c r="G5" s="74"/>
      <c r="H5" s="74"/>
      <c r="I5" s="74"/>
    </row>
    <row r="6" spans="1:9" s="4" customFormat="1" ht="13" x14ac:dyDescent="0.3"/>
    <row r="7" spans="1:9" s="4" customFormat="1" ht="13.5" thickBot="1" x14ac:dyDescent="0.35">
      <c r="E7" s="76">
        <v>2025</v>
      </c>
      <c r="F7" s="76">
        <v>2026</v>
      </c>
      <c r="G7" s="76">
        <v>2027</v>
      </c>
    </row>
    <row r="8" spans="1:9" s="4" customFormat="1" ht="13" x14ac:dyDescent="0.3">
      <c r="E8" s="6"/>
      <c r="F8" s="6"/>
      <c r="G8" s="6"/>
    </row>
    <row r="9" spans="1:9" s="4" customFormat="1" ht="13" x14ac:dyDescent="0.3"/>
    <row r="10" spans="1:9" s="4" customFormat="1" ht="13" x14ac:dyDescent="0.3">
      <c r="B10" s="11" t="s">
        <v>49</v>
      </c>
      <c r="C10" s="9"/>
      <c r="D10" s="9"/>
      <c r="E10" s="12"/>
      <c r="F10" s="12"/>
      <c r="G10" s="12"/>
    </row>
    <row r="11" spans="1:9" s="4" customFormat="1" ht="13" x14ac:dyDescent="0.3">
      <c r="B11" s="6"/>
      <c r="E11" s="14"/>
      <c r="F11" s="14"/>
      <c r="G11" s="14"/>
    </row>
    <row r="12" spans="1:9" x14ac:dyDescent="0.35">
      <c r="B12" s="21" t="s">
        <v>39</v>
      </c>
      <c r="E12" s="45" cm="1">
        <f t="array" ref="E12">INDEX('Revenue Assumptions'!$D$77:$D$79,'Revenue Assumptions'!$D$76)*(Workings!E32)</f>
        <v>0</v>
      </c>
      <c r="F12" s="45" cm="1">
        <f t="array" ref="F12">INDEX('Revenue Assumptions'!$D$77:$D$79,'Revenue Assumptions'!$D$76)*(Workings!F32)</f>
        <v>5000</v>
      </c>
      <c r="G12" s="45" cm="1">
        <f t="array" ref="G12">INDEX('Revenue Assumptions'!$D$77:$D$79,'Revenue Assumptions'!$D$76)*(Workings!G32)</f>
        <v>5000</v>
      </c>
    </row>
    <row r="13" spans="1:9" x14ac:dyDescent="0.35">
      <c r="B13" s="21"/>
      <c r="E13" s="40"/>
      <c r="F13" s="40"/>
      <c r="G13" s="40"/>
    </row>
    <row r="14" spans="1:9" x14ac:dyDescent="0.35">
      <c r="B14" s="21" t="s">
        <v>40</v>
      </c>
      <c r="E14" s="45" cm="1">
        <f t="array" ref="E14">INDEX('Revenue Assumptions'!$D$83:$D$85,'Revenue Assumptions'!$D$82)*(Workings!E34)</f>
        <v>0</v>
      </c>
      <c r="F14" s="45" cm="1">
        <f t="array" ref="F14">INDEX('Revenue Assumptions'!$D$83:$D$85,'Revenue Assumptions'!$D$82)*Workings!F34</f>
        <v>15</v>
      </c>
      <c r="G14" s="45" cm="1">
        <f t="array" ref="G14">INDEX('Revenue Assumptions'!$D$83:$D$85,'Revenue Assumptions'!$D$82)*Workings!G34</f>
        <v>15</v>
      </c>
    </row>
    <row r="16" spans="1:9" ht="15" thickBot="1" x14ac:dyDescent="0.4">
      <c r="B16" s="21" t="s">
        <v>45</v>
      </c>
      <c r="E16" s="22">
        <f>E12*E14*Workings!$C$8</f>
        <v>0</v>
      </c>
      <c r="F16" s="22">
        <f>F12*F14*Workings!$C$8</f>
        <v>900000</v>
      </c>
      <c r="G16" s="22">
        <f>G12*G14*Workings!$C$8</f>
        <v>900000</v>
      </c>
    </row>
    <row r="19" spans="2:7" ht="15" thickBot="1" x14ac:dyDescent="0.4">
      <c r="B19" s="21" t="s">
        <v>46</v>
      </c>
      <c r="C19" s="21"/>
      <c r="D19" s="21"/>
      <c r="E19" s="23">
        <f>E16-Cost!E14</f>
        <v>0</v>
      </c>
      <c r="F19" s="23">
        <f>F16-Cost!F14</f>
        <v>238000</v>
      </c>
      <c r="G19" s="23">
        <f>G16-Cost!G14</f>
        <v>238000</v>
      </c>
    </row>
    <row r="20" spans="2:7" ht="15" thickTop="1" x14ac:dyDescent="0.35"/>
    <row r="21" spans="2:7" x14ac:dyDescent="0.35">
      <c r="B21" s="21" t="s">
        <v>89</v>
      </c>
      <c r="D21" s="78">
        <f>G19/'Cost Assumptions'!B15</f>
        <v>19833.333333333332</v>
      </c>
    </row>
  </sheetData>
  <mergeCells count="1">
    <mergeCell ref="E4:F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42" r:id="rId3" name="Drop Down 2">
              <controlPr defaultSize="0" autoLine="0" autoPict="0">
                <anchor moveWithCells="1">
                  <from>
                    <xdr:col>1</xdr:col>
                    <xdr:colOff>209550</xdr:colOff>
                    <xdr:row>0</xdr:row>
                    <xdr:rowOff>19050</xdr:rowOff>
                  </from>
                  <to>
                    <xdr:col>1</xdr:col>
                    <xdr:colOff>990600</xdr:colOff>
                    <xdr:row>0</xdr:row>
                    <xdr:rowOff>152400</xdr:rowOff>
                  </to>
                </anchor>
              </controlPr>
            </control>
          </mc:Choice>
        </mc:AlternateContent>
        <mc:AlternateContent xmlns:mc="http://schemas.openxmlformats.org/markup-compatibility/2006">
          <mc:Choice Requires="x14">
            <control shapeId="10243" r:id="rId4" name="Drop Down 3">
              <controlPr defaultSize="0" autoLine="0" autoPict="0">
                <anchor moveWithCells="1">
                  <from>
                    <xdr:col>1</xdr:col>
                    <xdr:colOff>209550</xdr:colOff>
                    <xdr:row>1</xdr:row>
                    <xdr:rowOff>38100</xdr:rowOff>
                  </from>
                  <to>
                    <xdr:col>1</xdr:col>
                    <xdr:colOff>990600</xdr:colOff>
                    <xdr:row>1</xdr:row>
                    <xdr:rowOff>152400</xdr:rowOff>
                  </to>
                </anchor>
              </controlPr>
            </control>
          </mc:Choice>
        </mc:AlternateContent>
        <mc:AlternateContent xmlns:mc="http://schemas.openxmlformats.org/markup-compatibility/2006">
          <mc:Choice Requires="x14">
            <control shapeId="10244" r:id="rId5" name="Drop Down 4">
              <controlPr defaultSize="0" autoLine="0" autoPict="0">
                <anchor moveWithCells="1">
                  <from>
                    <xdr:col>1</xdr:col>
                    <xdr:colOff>209550</xdr:colOff>
                    <xdr:row>2</xdr:row>
                    <xdr:rowOff>38100</xdr:rowOff>
                  </from>
                  <to>
                    <xdr:col>1</xdr:col>
                    <xdr:colOff>977900</xdr:colOff>
                    <xdr:row>2</xdr:row>
                    <xdr:rowOff>152400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61CB3-A3A5-498B-8C95-8ED511FA0F17}">
  <dimension ref="A1:I22"/>
  <sheetViews>
    <sheetView showGridLines="0" workbookViewId="0"/>
  </sheetViews>
  <sheetFormatPr defaultRowHeight="14.5" x14ac:dyDescent="0.35"/>
  <cols>
    <col min="1" max="1" width="15.08984375" customWidth="1"/>
    <col min="2" max="2" width="17.7265625" customWidth="1"/>
    <col min="3" max="3" width="24.36328125" bestFit="1" customWidth="1"/>
    <col min="5" max="5" width="9.453125" customWidth="1"/>
    <col min="6" max="6" width="10.1796875" bestFit="1" customWidth="1"/>
    <col min="7" max="7" width="11.1796875" bestFit="1" customWidth="1"/>
  </cols>
  <sheetData>
    <row r="1" spans="1:9" ht="15.5" customHeight="1" x14ac:dyDescent="0.35">
      <c r="A1" s="5" t="s">
        <v>47</v>
      </c>
    </row>
    <row r="2" spans="1:9" ht="15.5" customHeight="1" x14ac:dyDescent="0.35">
      <c r="A2" s="5" t="s">
        <v>50</v>
      </c>
    </row>
    <row r="3" spans="1:9" ht="15.5" customHeight="1" x14ac:dyDescent="0.35">
      <c r="A3" s="5" t="s">
        <v>53</v>
      </c>
    </row>
    <row r="4" spans="1:9" x14ac:dyDescent="0.35">
      <c r="E4" s="50" t="s">
        <v>25</v>
      </c>
      <c r="F4" s="50"/>
    </row>
    <row r="5" spans="1:9" x14ac:dyDescent="0.35">
      <c r="B5" s="70" t="s">
        <v>60</v>
      </c>
      <c r="C5" s="70"/>
      <c r="D5" s="70"/>
      <c r="E5" s="70"/>
      <c r="F5" s="70"/>
      <c r="G5" s="70"/>
      <c r="H5" s="70"/>
      <c r="I5" s="70"/>
    </row>
    <row r="7" spans="1:9" ht="15" thickBot="1" x14ac:dyDescent="0.4">
      <c r="E7" s="8">
        <v>2025</v>
      </c>
      <c r="F7" s="8">
        <v>2026</v>
      </c>
      <c r="G7" s="8">
        <v>2027</v>
      </c>
    </row>
    <row r="9" spans="1:9" x14ac:dyDescent="0.35">
      <c r="B9" s="10"/>
      <c r="C9" s="10"/>
      <c r="D9" s="10"/>
      <c r="E9" s="10"/>
      <c r="F9" s="10"/>
      <c r="G9" s="10"/>
    </row>
    <row r="11" spans="1:9" x14ac:dyDescent="0.35">
      <c r="A11" s="21"/>
      <c r="B11" s="21" t="s">
        <v>38</v>
      </c>
      <c r="E11" s="72">
        <f>Cost!E14</f>
        <v>0</v>
      </c>
      <c r="F11" s="72">
        <f>Cost!F14</f>
        <v>662000</v>
      </c>
      <c r="G11" s="72">
        <f>Cost!G14</f>
        <v>662000</v>
      </c>
    </row>
    <row r="12" spans="1:9" x14ac:dyDescent="0.35">
      <c r="A12" s="21"/>
      <c r="B12" s="21"/>
      <c r="E12" s="73"/>
      <c r="F12" s="73"/>
      <c r="G12" s="73"/>
    </row>
    <row r="13" spans="1:9" x14ac:dyDescent="0.35">
      <c r="A13" s="21"/>
      <c r="B13" s="21" t="s">
        <v>44</v>
      </c>
      <c r="E13" s="72">
        <f>Cost!E16</f>
        <v>0</v>
      </c>
      <c r="F13" s="72">
        <f>Cost!F16</f>
        <v>967000</v>
      </c>
      <c r="G13" s="72">
        <f>Cost!G16</f>
        <v>662000</v>
      </c>
    </row>
    <row r="14" spans="1:9" x14ac:dyDescent="0.35">
      <c r="A14" s="21"/>
      <c r="B14" s="21"/>
      <c r="E14" s="73"/>
      <c r="F14" s="73"/>
      <c r="G14" s="73"/>
    </row>
    <row r="15" spans="1:9" x14ac:dyDescent="0.35">
      <c r="A15" s="21"/>
      <c r="B15" s="21" t="s">
        <v>49</v>
      </c>
      <c r="E15" s="72">
        <f>Revenue!E16</f>
        <v>0</v>
      </c>
      <c r="F15" s="72">
        <f>Revenue!F16</f>
        <v>900000</v>
      </c>
      <c r="G15" s="72">
        <f>Revenue!G16</f>
        <v>900000</v>
      </c>
    </row>
    <row r="17" spans="2:7" x14ac:dyDescent="0.35">
      <c r="B17" s="51" t="s">
        <v>88</v>
      </c>
      <c r="C17" s="26" t="s">
        <v>44</v>
      </c>
    </row>
    <row r="18" spans="2:7" x14ac:dyDescent="0.35">
      <c r="B18" s="52"/>
      <c r="C18" s="25" t="s">
        <v>56</v>
      </c>
      <c r="D18" s="21"/>
      <c r="E18" s="21"/>
      <c r="F18" s="47">
        <f>Cost!F12/Revenue!D21</f>
        <v>15.378151260504202</v>
      </c>
      <c r="G18" s="47"/>
    </row>
    <row r="19" spans="2:7" x14ac:dyDescent="0.35">
      <c r="F19" s="24"/>
    </row>
    <row r="20" spans="2:7" x14ac:dyDescent="0.35">
      <c r="F20" s="24"/>
    </row>
    <row r="21" spans="2:7" x14ac:dyDescent="0.35">
      <c r="B21" s="52" t="s">
        <v>58</v>
      </c>
      <c r="C21" s="26" t="s">
        <v>56</v>
      </c>
    </row>
    <row r="22" spans="2:7" x14ac:dyDescent="0.35">
      <c r="B22" s="52"/>
      <c r="C22" s="25" t="s">
        <v>59</v>
      </c>
      <c r="F22" s="27">
        <f>(F15-F11)/F13</f>
        <v>0.24612202688728024</v>
      </c>
      <c r="G22" s="27">
        <f>(G15-G11)/G13</f>
        <v>0.3595166163141994</v>
      </c>
    </row>
  </sheetData>
  <mergeCells count="3">
    <mergeCell ref="E4:F4"/>
    <mergeCell ref="B17:B18"/>
    <mergeCell ref="B21:B2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6" r:id="rId3" name="Drop Down 2">
              <controlPr defaultSize="0" autoLine="0" autoPict="0">
                <anchor moveWithCells="1">
                  <from>
                    <xdr:col>1</xdr:col>
                    <xdr:colOff>196850</xdr:colOff>
                    <xdr:row>0</xdr:row>
                    <xdr:rowOff>44450</xdr:rowOff>
                  </from>
                  <to>
                    <xdr:col>1</xdr:col>
                    <xdr:colOff>977900</xdr:colOff>
                    <xdr:row>0</xdr:row>
                    <xdr:rowOff>165100</xdr:rowOff>
                  </to>
                </anchor>
              </controlPr>
            </control>
          </mc:Choice>
        </mc:AlternateContent>
        <mc:AlternateContent xmlns:mc="http://schemas.openxmlformats.org/markup-compatibility/2006">
          <mc:Choice Requires="x14">
            <control shapeId="6147" r:id="rId4" name="Drop Down 3">
              <controlPr defaultSize="0" autoLine="0" autoPict="0">
                <anchor moveWithCells="1">
                  <from>
                    <xdr:col>1</xdr:col>
                    <xdr:colOff>209550</xdr:colOff>
                    <xdr:row>1</xdr:row>
                    <xdr:rowOff>38100</xdr:rowOff>
                  </from>
                  <to>
                    <xdr:col>1</xdr:col>
                    <xdr:colOff>990600</xdr:colOff>
                    <xdr:row>1</xdr:row>
                    <xdr:rowOff>152400</xdr:rowOff>
                  </to>
                </anchor>
              </controlPr>
            </control>
          </mc:Choice>
        </mc:AlternateContent>
        <mc:AlternateContent xmlns:mc="http://schemas.openxmlformats.org/markup-compatibility/2006">
          <mc:Choice Requires="x14">
            <control shapeId="6148" r:id="rId5" name="Drop Down 4">
              <controlPr defaultSize="0" autoLine="0" autoPict="0">
                <anchor moveWithCells="1">
                  <from>
                    <xdr:col>1</xdr:col>
                    <xdr:colOff>209550</xdr:colOff>
                    <xdr:row>2</xdr:row>
                    <xdr:rowOff>38100</xdr:rowOff>
                  </from>
                  <to>
                    <xdr:col>1</xdr:col>
                    <xdr:colOff>984250</xdr:colOff>
                    <xdr:row>2</xdr:row>
                    <xdr:rowOff>152400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CB068-FC20-43A9-A59D-4C7568BD31CD}">
  <dimension ref="A1:F13"/>
  <sheetViews>
    <sheetView showGridLines="0" workbookViewId="0"/>
  </sheetViews>
  <sheetFormatPr defaultRowHeight="14.5" x14ac:dyDescent="0.35"/>
  <cols>
    <col min="1" max="1" width="15.08984375" customWidth="1"/>
    <col min="2" max="2" width="23.7265625" bestFit="1" customWidth="1"/>
    <col min="4" max="5" width="11.54296875" bestFit="1" customWidth="1"/>
  </cols>
  <sheetData>
    <row r="1" spans="1:6" ht="15.5" customHeight="1" x14ac:dyDescent="0.35">
      <c r="A1" s="5" t="s">
        <v>47</v>
      </c>
    </row>
    <row r="2" spans="1:6" ht="15.5" customHeight="1" x14ac:dyDescent="0.35">
      <c r="A2" s="5" t="s">
        <v>50</v>
      </c>
    </row>
    <row r="3" spans="1:6" ht="15.5" customHeight="1" x14ac:dyDescent="0.35">
      <c r="A3" s="5" t="s">
        <v>53</v>
      </c>
    </row>
    <row r="4" spans="1:6" x14ac:dyDescent="0.35">
      <c r="C4" s="50" t="s">
        <v>25</v>
      </c>
      <c r="D4" s="50"/>
      <c r="E4" s="30"/>
    </row>
    <row r="5" spans="1:6" x14ac:dyDescent="0.35">
      <c r="B5" s="70" t="s">
        <v>61</v>
      </c>
      <c r="C5" s="70"/>
      <c r="D5" s="70"/>
      <c r="E5" s="70"/>
    </row>
    <row r="6" spans="1:6" ht="15" thickBot="1" x14ac:dyDescent="0.4">
      <c r="B6" s="54" t="s">
        <v>67</v>
      </c>
      <c r="C6" s="71" t="s">
        <v>64</v>
      </c>
      <c r="D6" s="71" t="s">
        <v>65</v>
      </c>
      <c r="E6" s="71" t="s">
        <v>66</v>
      </c>
    </row>
    <row r="7" spans="1:6" x14ac:dyDescent="0.35">
      <c r="B7" t="s">
        <v>37</v>
      </c>
      <c r="C7" s="3">
        <f>Cost!E12</f>
        <v>0</v>
      </c>
      <c r="D7" s="28">
        <f>Cost!F12</f>
        <v>305000</v>
      </c>
      <c r="E7" s="28">
        <f>Cost!G12</f>
        <v>0</v>
      </c>
    </row>
    <row r="8" spans="1:6" x14ac:dyDescent="0.35">
      <c r="B8" t="s">
        <v>38</v>
      </c>
      <c r="C8" s="3">
        <f>Cost!E14</f>
        <v>0</v>
      </c>
      <c r="D8" s="28">
        <f>Cost!F14</f>
        <v>662000</v>
      </c>
      <c r="E8" s="28">
        <f>Cost!G14</f>
        <v>662000</v>
      </c>
    </row>
    <row r="9" spans="1:6" x14ac:dyDescent="0.35">
      <c r="B9" t="s">
        <v>44</v>
      </c>
      <c r="C9" s="3">
        <f>Cost!E16</f>
        <v>0</v>
      </c>
      <c r="D9" s="28">
        <f>Cost!F16</f>
        <v>967000</v>
      </c>
      <c r="E9" s="28">
        <f>Cost!G16</f>
        <v>662000</v>
      </c>
    </row>
    <row r="10" spans="1:6" x14ac:dyDescent="0.35">
      <c r="B10" t="s">
        <v>49</v>
      </c>
      <c r="C10" s="3">
        <f>Revenue!E16</f>
        <v>0</v>
      </c>
      <c r="D10" s="28">
        <f>Revenue!F16</f>
        <v>900000</v>
      </c>
      <c r="E10" s="28">
        <f>Revenue!G16</f>
        <v>900000</v>
      </c>
    </row>
    <row r="11" spans="1:6" x14ac:dyDescent="0.35">
      <c r="B11" t="s">
        <v>46</v>
      </c>
      <c r="C11" s="3">
        <f>Revenue!E19</f>
        <v>0</v>
      </c>
      <c r="D11" s="28">
        <f>Revenue!F19</f>
        <v>238000</v>
      </c>
      <c r="E11" s="28">
        <f>Revenue!G19</f>
        <v>238000</v>
      </c>
    </row>
    <row r="12" spans="1:6" x14ac:dyDescent="0.35">
      <c r="B12" t="s">
        <v>62</v>
      </c>
      <c r="D12" s="19">
        <f>Breakeven_ROI!F22</f>
        <v>0.24612202688728024</v>
      </c>
      <c r="E12" s="19">
        <f>Breakeven_ROI!G22</f>
        <v>0.3595166163141994</v>
      </c>
      <c r="F12" s="19"/>
    </row>
    <row r="13" spans="1:6" x14ac:dyDescent="0.35">
      <c r="B13" t="s">
        <v>55</v>
      </c>
      <c r="D13" s="49">
        <f>Breakeven_ROI!F18</f>
        <v>15.378151260504202</v>
      </c>
      <c r="E13" s="48">
        <f>Summary[[#This Row],[2026]]</f>
        <v>15.378151260504202</v>
      </c>
    </row>
  </sheetData>
  <mergeCells count="1">
    <mergeCell ref="C4:D4"/>
  </mergeCells>
  <phoneticPr fontId="25"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1265" r:id="rId3" name="Drop Down 1">
              <controlPr defaultSize="0" autoLine="0" autoPict="0">
                <anchor moveWithCells="1">
                  <from>
                    <xdr:col>1</xdr:col>
                    <xdr:colOff>196850</xdr:colOff>
                    <xdr:row>0</xdr:row>
                    <xdr:rowOff>44450</xdr:rowOff>
                  </from>
                  <to>
                    <xdr:col>1</xdr:col>
                    <xdr:colOff>984250</xdr:colOff>
                    <xdr:row>0</xdr:row>
                    <xdr:rowOff>165100</xdr:rowOff>
                  </to>
                </anchor>
              </controlPr>
            </control>
          </mc:Choice>
        </mc:AlternateContent>
        <mc:AlternateContent xmlns:mc="http://schemas.openxmlformats.org/markup-compatibility/2006">
          <mc:Choice Requires="x14">
            <control shapeId="11266" r:id="rId4" name="Drop Down 2">
              <controlPr defaultSize="0" autoLine="0" autoPict="0">
                <anchor moveWithCells="1">
                  <from>
                    <xdr:col>1</xdr:col>
                    <xdr:colOff>209550</xdr:colOff>
                    <xdr:row>1</xdr:row>
                    <xdr:rowOff>38100</xdr:rowOff>
                  </from>
                  <to>
                    <xdr:col>1</xdr:col>
                    <xdr:colOff>990600</xdr:colOff>
                    <xdr:row>1</xdr:row>
                    <xdr:rowOff>152400</xdr:rowOff>
                  </to>
                </anchor>
              </controlPr>
            </control>
          </mc:Choice>
        </mc:AlternateContent>
        <mc:AlternateContent xmlns:mc="http://schemas.openxmlformats.org/markup-compatibility/2006">
          <mc:Choice Requires="x14">
            <control shapeId="11267" r:id="rId5" name="Drop Down 3">
              <controlPr defaultSize="0" autoLine="0" autoPict="0">
                <anchor moveWithCells="1">
                  <from>
                    <xdr:col>1</xdr:col>
                    <xdr:colOff>209550</xdr:colOff>
                    <xdr:row>2</xdr:row>
                    <xdr:rowOff>38100</xdr:rowOff>
                  </from>
                  <to>
                    <xdr:col>1</xdr:col>
                    <xdr:colOff>984250</xdr:colOff>
                    <xdr:row>2</xdr:row>
                    <xdr:rowOff>152400</xdr:rowOff>
                  </to>
                </anchor>
              </controlPr>
            </control>
          </mc:Choice>
        </mc:AlternateContent>
      </controls>
    </mc:Choice>
  </mc:AlternateContent>
  <tableParts count="1">
    <tablePart r:id="rId6"/>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BDEC6-C34C-45B9-A834-828F8E7128C7}">
  <dimension ref="A1:M19"/>
  <sheetViews>
    <sheetView showGridLines="0" workbookViewId="0"/>
  </sheetViews>
  <sheetFormatPr defaultRowHeight="14.5" x14ac:dyDescent="0.35"/>
  <cols>
    <col min="1" max="1" width="15.08984375" customWidth="1"/>
    <col min="2" max="2" width="15.81640625" customWidth="1"/>
    <col min="3" max="3" width="10.453125" customWidth="1"/>
    <col min="4" max="4" width="17.453125" bestFit="1" customWidth="1"/>
    <col min="5" max="5" width="12.54296875" customWidth="1"/>
    <col min="6" max="6" width="10.1796875" bestFit="1" customWidth="1"/>
    <col min="7" max="7" width="11.54296875" customWidth="1"/>
    <col min="8" max="8" width="11.08984375" customWidth="1"/>
    <col min="9" max="9" width="14.54296875" customWidth="1"/>
    <col min="10" max="10" width="11.54296875" bestFit="1" customWidth="1"/>
    <col min="11" max="11" width="11.36328125" bestFit="1" customWidth="1"/>
    <col min="12" max="12" width="5.81640625" customWidth="1"/>
    <col min="13" max="13" width="16" customWidth="1"/>
  </cols>
  <sheetData>
    <row r="1" spans="1:13" ht="15.5" customHeight="1" x14ac:dyDescent="0.35">
      <c r="A1" s="5" t="s">
        <v>47</v>
      </c>
    </row>
    <row r="2" spans="1:13" ht="15.5" customHeight="1" x14ac:dyDescent="0.35">
      <c r="A2" s="5" t="s">
        <v>50</v>
      </c>
    </row>
    <row r="3" spans="1:13" ht="15.5" customHeight="1" x14ac:dyDescent="0.35">
      <c r="A3" s="5" t="s">
        <v>53</v>
      </c>
    </row>
    <row r="4" spans="1:13" x14ac:dyDescent="0.35">
      <c r="F4" s="50" t="s">
        <v>25</v>
      </c>
      <c r="G4" s="50"/>
      <c r="H4" s="50"/>
    </row>
    <row r="5" spans="1:13" x14ac:dyDescent="0.35">
      <c r="B5" s="31" t="s">
        <v>68</v>
      </c>
      <c r="C5" s="69"/>
      <c r="D5" s="69"/>
      <c r="E5" s="69"/>
      <c r="F5" s="69"/>
      <c r="G5" s="69"/>
      <c r="H5" s="69"/>
      <c r="I5" s="69"/>
      <c r="J5" s="69"/>
      <c r="K5" s="69"/>
      <c r="L5" s="69"/>
      <c r="M5" s="69"/>
    </row>
    <row r="6" spans="1:13" x14ac:dyDescent="0.35">
      <c r="C6" s="69" t="s">
        <v>69</v>
      </c>
      <c r="D6" s="69" t="s">
        <v>72</v>
      </c>
      <c r="E6" s="69" t="s">
        <v>73</v>
      </c>
      <c r="F6" s="69" t="s">
        <v>74</v>
      </c>
      <c r="G6" s="69" t="s">
        <v>75</v>
      </c>
      <c r="H6" s="69" t="s">
        <v>44</v>
      </c>
      <c r="I6" s="69" t="s">
        <v>49</v>
      </c>
      <c r="J6" s="69" t="s">
        <v>46</v>
      </c>
      <c r="K6" s="69" t="s">
        <v>81</v>
      </c>
      <c r="L6" s="69" t="s">
        <v>57</v>
      </c>
      <c r="M6" s="69" t="s">
        <v>55</v>
      </c>
    </row>
    <row r="7" spans="1:13" x14ac:dyDescent="0.35">
      <c r="C7" s="69" t="s">
        <v>65</v>
      </c>
      <c r="D7" s="29"/>
      <c r="E7" s="29"/>
      <c r="F7" s="29"/>
      <c r="G7" s="29"/>
      <c r="H7" s="29">
        <f>Cost!F16</f>
        <v>967000</v>
      </c>
      <c r="I7" s="29">
        <f>Revenue!F16</f>
        <v>900000</v>
      </c>
      <c r="J7" s="29">
        <f>Revenue!F19</f>
        <v>238000</v>
      </c>
      <c r="K7" s="20">
        <f>Data[[#This Row],[Net Profit]]/Data[[#This Row],[Total Revenue]]</f>
        <v>0.26444444444444443</v>
      </c>
      <c r="L7" s="19">
        <f>Breakeven_ROI!F22</f>
        <v>0.24612202688728024</v>
      </c>
      <c r="M7" s="16">
        <f>Breakeven_ROI!F18</f>
        <v>15.378151260504202</v>
      </c>
    </row>
    <row r="8" spans="1:13" x14ac:dyDescent="0.35">
      <c r="C8" s="69" t="s">
        <v>66</v>
      </c>
      <c r="D8" s="29"/>
      <c r="E8" s="29"/>
      <c r="F8" s="29"/>
      <c r="G8" s="29"/>
      <c r="H8" s="29">
        <f>Cost!G16</f>
        <v>662000</v>
      </c>
      <c r="I8" s="29">
        <f>Revenue!G16</f>
        <v>900000</v>
      </c>
      <c r="J8" s="29">
        <f>Revenue!G19</f>
        <v>238000</v>
      </c>
      <c r="K8" s="20">
        <f>Data[[#This Row],[Net Profit]]/Data[[#This Row],[Total Revenue]]</f>
        <v>0.26444444444444443</v>
      </c>
      <c r="L8" s="19">
        <f>Breakeven_ROI!G22</f>
        <v>0.3595166163141994</v>
      </c>
      <c r="M8" s="16">
        <f>Breakeven_ROI!F18</f>
        <v>15.378151260504202</v>
      </c>
    </row>
    <row r="9" spans="1:13" x14ac:dyDescent="0.35">
      <c r="C9" s="69" t="s">
        <v>65</v>
      </c>
      <c r="D9" s="29" t="str">
        <f>Workings!C12</f>
        <v>Initial Setup</v>
      </c>
      <c r="E9" s="29">
        <f>Workings!F12</f>
        <v>250000</v>
      </c>
      <c r="F9" s="29"/>
      <c r="G9" s="29"/>
      <c r="H9" s="29"/>
      <c r="I9" s="29"/>
      <c r="J9" s="29"/>
      <c r="K9" s="29"/>
    </row>
    <row r="10" spans="1:13" x14ac:dyDescent="0.35">
      <c r="C10" s="69" t="s">
        <v>65</v>
      </c>
      <c r="D10" s="29" t="str">
        <f>Workings!C13</f>
        <v>Logistics</v>
      </c>
      <c r="E10" s="29">
        <f>Workings!F13</f>
        <v>15000</v>
      </c>
      <c r="F10" s="29" t="str">
        <f>Workings!C22</f>
        <v>Inventory</v>
      </c>
      <c r="G10" s="29">
        <f>Workings!F22</f>
        <v>50000</v>
      </c>
      <c r="H10" s="29"/>
      <c r="I10" s="29"/>
      <c r="J10" s="29"/>
      <c r="K10" s="29"/>
    </row>
    <row r="11" spans="1:13" x14ac:dyDescent="0.35">
      <c r="C11" s="69" t="s">
        <v>65</v>
      </c>
      <c r="D11" s="29" t="str">
        <f>Workings!C14</f>
        <v>IT Infrastructure</v>
      </c>
      <c r="E11" s="29">
        <f>Workings!F14</f>
        <v>20000</v>
      </c>
      <c r="F11" s="29" t="str">
        <f>Workings!C23</f>
        <v xml:space="preserve">Rent </v>
      </c>
      <c r="G11" s="29">
        <f>Workings!F23</f>
        <v>144000</v>
      </c>
      <c r="H11" s="29"/>
      <c r="I11" s="29"/>
      <c r="J11" s="29"/>
      <c r="K11" s="29"/>
    </row>
    <row r="12" spans="1:13" x14ac:dyDescent="0.35">
      <c r="C12" s="69" t="s">
        <v>65</v>
      </c>
      <c r="D12" s="29" t="str">
        <f>Workings!C15</f>
        <v>Legal &amp; Licensing</v>
      </c>
      <c r="E12" s="29">
        <f>Workings!F15</f>
        <v>10000</v>
      </c>
      <c r="F12" s="29" t="str">
        <f>Workings!C24</f>
        <v xml:space="preserve">Salaries </v>
      </c>
      <c r="G12" s="29">
        <f>Workings!F24</f>
        <v>360000</v>
      </c>
      <c r="H12" s="29"/>
      <c r="I12" s="29"/>
      <c r="J12" s="29"/>
      <c r="K12" s="29"/>
    </row>
    <row r="13" spans="1:13" x14ac:dyDescent="0.35">
      <c r="C13" s="69" t="s">
        <v>65</v>
      </c>
      <c r="D13" s="29" t="str">
        <f>Workings!C16</f>
        <v>Contingency Fund</v>
      </c>
      <c r="E13" s="29">
        <f>Workings!F16</f>
        <v>10000</v>
      </c>
      <c r="F13" s="29" t="str">
        <f>Workings!C25</f>
        <v xml:space="preserve">Marketing </v>
      </c>
      <c r="G13" s="29">
        <f>Workings!F25</f>
        <v>60000</v>
      </c>
      <c r="H13" s="29"/>
      <c r="I13" s="29"/>
      <c r="J13" s="29"/>
      <c r="K13" s="29"/>
    </row>
    <row r="14" spans="1:13" x14ac:dyDescent="0.35">
      <c r="C14" s="69" t="s">
        <v>65</v>
      </c>
      <c r="D14" s="29"/>
      <c r="E14" s="29"/>
      <c r="F14" s="29" t="str">
        <f>Workings!C26</f>
        <v xml:space="preserve">Utilities </v>
      </c>
      <c r="G14" s="29">
        <f>Workings!F26</f>
        <v>48000</v>
      </c>
      <c r="H14" s="29"/>
      <c r="I14" s="29"/>
      <c r="J14" s="29"/>
      <c r="K14" s="29"/>
    </row>
    <row r="15" spans="1:13" x14ac:dyDescent="0.35">
      <c r="C15" s="69" t="s">
        <v>66</v>
      </c>
      <c r="D15" s="29"/>
      <c r="E15" s="29"/>
      <c r="F15" s="29" t="str">
        <f>Workings!C22</f>
        <v>Inventory</v>
      </c>
      <c r="G15" s="29">
        <f>Workings!G22</f>
        <v>50000</v>
      </c>
      <c r="H15" s="29"/>
      <c r="I15" s="29"/>
      <c r="J15" s="29"/>
      <c r="K15" s="29"/>
    </row>
    <row r="16" spans="1:13" x14ac:dyDescent="0.35">
      <c r="C16" s="69" t="s">
        <v>66</v>
      </c>
      <c r="D16" s="29"/>
      <c r="E16" s="29"/>
      <c r="F16" s="29" t="str">
        <f>Workings!C23</f>
        <v xml:space="preserve">Rent </v>
      </c>
      <c r="G16" s="29">
        <f>Workings!G23</f>
        <v>144000</v>
      </c>
      <c r="H16" s="29"/>
      <c r="I16" s="29"/>
      <c r="J16" s="29"/>
      <c r="K16" s="29"/>
    </row>
    <row r="17" spans="3:11" x14ac:dyDescent="0.35">
      <c r="C17" s="69" t="s">
        <v>66</v>
      </c>
      <c r="D17" s="29"/>
      <c r="E17" s="29"/>
      <c r="F17" s="29" t="str">
        <f>Workings!C24</f>
        <v xml:space="preserve">Salaries </v>
      </c>
      <c r="G17" s="29">
        <f>Workings!G24</f>
        <v>360000</v>
      </c>
      <c r="H17" s="29"/>
      <c r="I17" s="29"/>
      <c r="J17" s="29"/>
      <c r="K17" s="29"/>
    </row>
    <row r="18" spans="3:11" x14ac:dyDescent="0.35">
      <c r="C18" s="69" t="s">
        <v>66</v>
      </c>
      <c r="D18" s="29"/>
      <c r="E18" s="29"/>
      <c r="F18" s="29" t="str">
        <f>Workings!C25</f>
        <v xml:space="preserve">Marketing </v>
      </c>
      <c r="G18" s="29">
        <f>Workings!G25</f>
        <v>60000</v>
      </c>
      <c r="H18" s="29"/>
      <c r="I18" s="29"/>
      <c r="J18" s="29"/>
      <c r="K18" s="29"/>
    </row>
    <row r="19" spans="3:11" x14ac:dyDescent="0.35">
      <c r="C19" s="69" t="s">
        <v>66</v>
      </c>
      <c r="D19" s="29"/>
      <c r="E19" s="29"/>
      <c r="F19" s="29" t="str">
        <f>Workings!C26</f>
        <v xml:space="preserve">Utilities </v>
      </c>
      <c r="G19" s="29">
        <f>Workings!G26</f>
        <v>48000</v>
      </c>
      <c r="H19" s="29"/>
      <c r="I19" s="29"/>
      <c r="J19" s="29"/>
      <c r="K19" s="29"/>
    </row>
  </sheetData>
  <mergeCells count="1">
    <mergeCell ref="F4:H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3313" r:id="rId3" name="Drop Down 1">
              <controlPr defaultSize="0" autoLine="0" autoPict="0">
                <anchor moveWithCells="1">
                  <from>
                    <xdr:col>1</xdr:col>
                    <xdr:colOff>196850</xdr:colOff>
                    <xdr:row>0</xdr:row>
                    <xdr:rowOff>44450</xdr:rowOff>
                  </from>
                  <to>
                    <xdr:col>1</xdr:col>
                    <xdr:colOff>984250</xdr:colOff>
                    <xdr:row>0</xdr:row>
                    <xdr:rowOff>165100</xdr:rowOff>
                  </to>
                </anchor>
              </controlPr>
            </control>
          </mc:Choice>
        </mc:AlternateContent>
        <mc:AlternateContent xmlns:mc="http://schemas.openxmlformats.org/markup-compatibility/2006">
          <mc:Choice Requires="x14">
            <control shapeId="13314" r:id="rId4" name="Drop Down 2">
              <controlPr defaultSize="0" autoLine="0" autoPict="0">
                <anchor moveWithCells="1">
                  <from>
                    <xdr:col>1</xdr:col>
                    <xdr:colOff>209550</xdr:colOff>
                    <xdr:row>1</xdr:row>
                    <xdr:rowOff>38100</xdr:rowOff>
                  </from>
                  <to>
                    <xdr:col>1</xdr:col>
                    <xdr:colOff>990600</xdr:colOff>
                    <xdr:row>1</xdr:row>
                    <xdr:rowOff>152400</xdr:rowOff>
                  </to>
                </anchor>
              </controlPr>
            </control>
          </mc:Choice>
        </mc:AlternateContent>
        <mc:AlternateContent xmlns:mc="http://schemas.openxmlformats.org/markup-compatibility/2006">
          <mc:Choice Requires="x14">
            <control shapeId="13315" r:id="rId5" name="Drop Down 3">
              <controlPr defaultSize="0" autoLine="0" autoPict="0">
                <anchor moveWithCells="1">
                  <from>
                    <xdr:col>1</xdr:col>
                    <xdr:colOff>209550</xdr:colOff>
                    <xdr:row>2</xdr:row>
                    <xdr:rowOff>38100</xdr:rowOff>
                  </from>
                  <to>
                    <xdr:col>1</xdr:col>
                    <xdr:colOff>984250</xdr:colOff>
                    <xdr:row>2</xdr:row>
                    <xdr:rowOff>152400</xdr:rowOff>
                  </to>
                </anchor>
              </controlPr>
            </control>
          </mc:Choice>
        </mc:AlternateContent>
      </controls>
    </mc:Choice>
  </mc:AlternateContent>
  <tableParts count="1">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BDFC-E663-4513-801F-A5FE6B541121}">
  <dimension ref="A3:H23"/>
  <sheetViews>
    <sheetView showGridLines="0" workbookViewId="0"/>
  </sheetViews>
  <sheetFormatPr defaultRowHeight="14.5" x14ac:dyDescent="0.35"/>
  <cols>
    <col min="1" max="1" width="12.453125" bestFit="1" customWidth="1"/>
    <col min="2" max="2" width="12.26953125" bestFit="1" customWidth="1"/>
    <col min="3" max="3" width="15.36328125" bestFit="1" customWidth="1"/>
    <col min="4" max="4" width="18.90625" bestFit="1" customWidth="1"/>
    <col min="5" max="6" width="10.1796875" bestFit="1" customWidth="1"/>
    <col min="7" max="7" width="9.54296875" bestFit="1" customWidth="1"/>
    <col min="8" max="8" width="14.7265625" bestFit="1" customWidth="1"/>
  </cols>
  <sheetData>
    <row r="3" spans="1:8" x14ac:dyDescent="0.35">
      <c r="A3" s="69" t="s">
        <v>78</v>
      </c>
      <c r="B3" s="69" t="s">
        <v>77</v>
      </c>
      <c r="C3" s="69" t="s">
        <v>80</v>
      </c>
      <c r="D3" s="69" t="s">
        <v>70</v>
      </c>
      <c r="E3" s="69" t="s">
        <v>71</v>
      </c>
      <c r="F3" s="69" t="s">
        <v>79</v>
      </c>
      <c r="G3" s="69" t="s">
        <v>54</v>
      </c>
      <c r="H3" s="69" t="s">
        <v>82</v>
      </c>
    </row>
    <row r="4" spans="1:8" x14ac:dyDescent="0.35">
      <c r="A4" s="29">
        <v>305000</v>
      </c>
      <c r="B4" s="29">
        <v>1324000</v>
      </c>
      <c r="C4" s="29">
        <v>1629000</v>
      </c>
      <c r="D4" s="29">
        <v>1800000</v>
      </c>
      <c r="E4" s="29">
        <v>476000</v>
      </c>
      <c r="F4" s="19">
        <v>0.30281932160073982</v>
      </c>
      <c r="G4" s="48">
        <v>15.378151260504202</v>
      </c>
      <c r="H4" s="19">
        <v>0.26444444444444443</v>
      </c>
    </row>
    <row r="7" spans="1:8" x14ac:dyDescent="0.35">
      <c r="A7" s="69" t="s">
        <v>72</v>
      </c>
      <c r="B7" s="69" t="s">
        <v>78</v>
      </c>
      <c r="D7" s="69" t="s">
        <v>69</v>
      </c>
      <c r="E7" s="69" t="s">
        <v>84</v>
      </c>
      <c r="F7" s="69" t="s">
        <v>45</v>
      </c>
      <c r="G7" s="69" t="s">
        <v>85</v>
      </c>
    </row>
    <row r="8" spans="1:8" x14ac:dyDescent="0.35">
      <c r="A8" s="32" t="s">
        <v>24</v>
      </c>
      <c r="B8" s="16">
        <v>10000</v>
      </c>
      <c r="D8" s="32" t="s">
        <v>65</v>
      </c>
      <c r="E8" s="16">
        <v>662000</v>
      </c>
      <c r="F8" s="16">
        <v>900000</v>
      </c>
      <c r="G8" s="16">
        <v>238000</v>
      </c>
    </row>
    <row r="9" spans="1:8" x14ac:dyDescent="0.35">
      <c r="A9" s="32" t="s">
        <v>22</v>
      </c>
      <c r="B9" s="16">
        <v>10000</v>
      </c>
      <c r="D9" s="32" t="s">
        <v>66</v>
      </c>
      <c r="E9" s="16">
        <v>662000</v>
      </c>
      <c r="F9" s="16">
        <v>900000</v>
      </c>
      <c r="G9" s="16">
        <v>238000</v>
      </c>
    </row>
    <row r="10" spans="1:8" x14ac:dyDescent="0.35">
      <c r="A10" s="32" t="s">
        <v>18</v>
      </c>
      <c r="B10" s="16">
        <v>15000</v>
      </c>
      <c r="D10" s="69" t="s">
        <v>76</v>
      </c>
      <c r="E10" s="69">
        <v>1324000</v>
      </c>
      <c r="F10" s="69">
        <v>1800000</v>
      </c>
      <c r="G10" s="69">
        <v>476000</v>
      </c>
    </row>
    <row r="11" spans="1:8" x14ac:dyDescent="0.35">
      <c r="A11" s="32" t="s">
        <v>21</v>
      </c>
      <c r="B11" s="16">
        <v>20000</v>
      </c>
    </row>
    <row r="12" spans="1:8" x14ac:dyDescent="0.35">
      <c r="A12" s="32" t="s">
        <v>13</v>
      </c>
      <c r="B12" s="16">
        <v>250000</v>
      </c>
    </row>
    <row r="13" spans="1:8" x14ac:dyDescent="0.35">
      <c r="A13" s="69" t="s">
        <v>37</v>
      </c>
      <c r="B13" s="69">
        <v>305000</v>
      </c>
    </row>
    <row r="14" spans="1:8" x14ac:dyDescent="0.35">
      <c r="D14" s="69" t="s">
        <v>69</v>
      </c>
      <c r="E14" s="69" t="s">
        <v>86</v>
      </c>
      <c r="F14" s="69" t="s">
        <v>87</v>
      </c>
    </row>
    <row r="15" spans="1:8" x14ac:dyDescent="0.35">
      <c r="D15" s="32" t="s">
        <v>65</v>
      </c>
      <c r="E15" s="19">
        <v>0.26444444444444443</v>
      </c>
      <c r="F15" s="19">
        <v>0.24612202688728024</v>
      </c>
    </row>
    <row r="16" spans="1:8" x14ac:dyDescent="0.35">
      <c r="D16" s="32" t="s">
        <v>66</v>
      </c>
      <c r="E16" s="19">
        <v>0.26444444444444443</v>
      </c>
      <c r="F16" s="19">
        <v>0.3595166163141994</v>
      </c>
    </row>
    <row r="17" spans="1:6" x14ac:dyDescent="0.35">
      <c r="A17" s="69" t="s">
        <v>74</v>
      </c>
      <c r="B17" s="69" t="s">
        <v>77</v>
      </c>
      <c r="D17" s="69" t="s">
        <v>76</v>
      </c>
      <c r="E17" s="69">
        <v>0.52888888888888885</v>
      </c>
      <c r="F17" s="69">
        <v>0.60563864320147964</v>
      </c>
    </row>
    <row r="18" spans="1:6" x14ac:dyDescent="0.35">
      <c r="A18" s="32" t="s">
        <v>29</v>
      </c>
      <c r="B18" s="16">
        <v>120000</v>
      </c>
    </row>
    <row r="19" spans="1:6" x14ac:dyDescent="0.35">
      <c r="A19" s="32" t="s">
        <v>27</v>
      </c>
      <c r="B19" s="16">
        <v>288000</v>
      </c>
    </row>
    <row r="20" spans="1:6" x14ac:dyDescent="0.35">
      <c r="A20" s="32" t="s">
        <v>28</v>
      </c>
      <c r="B20" s="16">
        <v>720000</v>
      </c>
    </row>
    <row r="21" spans="1:6" x14ac:dyDescent="0.35">
      <c r="A21" s="32" t="s">
        <v>30</v>
      </c>
      <c r="B21" s="16">
        <v>96000</v>
      </c>
    </row>
    <row r="22" spans="1:6" x14ac:dyDescent="0.35">
      <c r="A22" s="32" t="s">
        <v>83</v>
      </c>
      <c r="B22" s="16">
        <v>100000</v>
      </c>
    </row>
    <row r="23" spans="1:6" x14ac:dyDescent="0.35">
      <c r="A23" s="69" t="s">
        <v>76</v>
      </c>
      <c r="B23" s="69">
        <v>1324000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DF9D1-DE48-4C0D-BBF8-2C59D8B74D21}">
  <dimension ref="B1:U45"/>
  <sheetViews>
    <sheetView showGridLines="0" tabSelected="1" zoomScale="80" zoomScaleNormal="80" workbookViewId="0"/>
  </sheetViews>
  <sheetFormatPr defaultRowHeight="14.5" x14ac:dyDescent="0.35"/>
  <sheetData>
    <row r="1" spans="2:21" ht="15" thickBot="1" x14ac:dyDescent="0.4"/>
    <row r="2" spans="2:21" ht="15" thickBot="1" x14ac:dyDescent="0.4">
      <c r="B2" s="56"/>
      <c r="C2" s="57"/>
      <c r="D2" s="57"/>
      <c r="E2" s="57"/>
      <c r="F2" s="57"/>
      <c r="G2" s="57"/>
      <c r="H2" s="57"/>
      <c r="I2" s="57"/>
      <c r="J2" s="57"/>
      <c r="K2" s="57"/>
      <c r="L2" s="57"/>
      <c r="M2" s="57"/>
      <c r="N2" s="57"/>
      <c r="O2" s="57"/>
      <c r="P2" s="57"/>
      <c r="Q2" s="57"/>
      <c r="R2" s="57"/>
      <c r="S2" s="57"/>
      <c r="T2" s="57"/>
      <c r="U2" s="58"/>
    </row>
    <row r="3" spans="2:21" x14ac:dyDescent="0.35">
      <c r="B3" s="59"/>
      <c r="C3" s="60"/>
      <c r="D3" s="60"/>
      <c r="E3" s="60"/>
      <c r="F3" s="60"/>
      <c r="G3" s="60"/>
      <c r="H3" s="60"/>
      <c r="I3" s="60"/>
      <c r="J3" s="60"/>
      <c r="K3" s="60"/>
      <c r="L3" s="60"/>
      <c r="M3" s="60"/>
      <c r="N3" s="60"/>
      <c r="O3" s="60"/>
      <c r="P3" s="60"/>
      <c r="Q3" s="60"/>
      <c r="R3" s="61" t="s">
        <v>63</v>
      </c>
      <c r="S3" s="62"/>
      <c r="T3" s="60"/>
      <c r="U3" s="63"/>
    </row>
    <row r="4" spans="2:21" x14ac:dyDescent="0.35">
      <c r="B4" s="59"/>
      <c r="C4" s="60"/>
      <c r="D4" s="60"/>
      <c r="E4" s="60"/>
      <c r="F4" s="60"/>
      <c r="G4" s="60"/>
      <c r="H4" s="60"/>
      <c r="I4" s="60"/>
      <c r="J4" s="60"/>
      <c r="K4" s="60"/>
      <c r="L4" s="60"/>
      <c r="M4" s="60"/>
      <c r="N4" s="60"/>
      <c r="O4" s="60"/>
      <c r="P4" s="60"/>
      <c r="Q4" s="60"/>
      <c r="R4" s="64" t="s">
        <v>51</v>
      </c>
      <c r="S4" s="60"/>
      <c r="T4" s="60"/>
      <c r="U4" s="63"/>
    </row>
    <row r="5" spans="2:21" ht="15" thickBot="1" x14ac:dyDescent="0.4">
      <c r="B5" s="59"/>
      <c r="C5" s="60"/>
      <c r="D5" s="60"/>
      <c r="E5" s="60"/>
      <c r="F5" s="60"/>
      <c r="G5" s="60"/>
      <c r="H5" s="60"/>
      <c r="I5" s="60"/>
      <c r="J5" s="60"/>
      <c r="K5" s="60"/>
      <c r="L5" s="60"/>
      <c r="M5" s="60"/>
      <c r="N5" s="60"/>
      <c r="O5" s="60"/>
      <c r="P5" s="60"/>
      <c r="Q5" s="60"/>
      <c r="R5" s="65" t="s">
        <v>52</v>
      </c>
      <c r="S5" s="60"/>
      <c r="T5" s="60"/>
      <c r="U5" s="63"/>
    </row>
    <row r="6" spans="2:21" x14ac:dyDescent="0.35">
      <c r="B6" s="59"/>
      <c r="C6" s="60"/>
      <c r="D6" s="60"/>
      <c r="E6" s="60"/>
      <c r="F6" s="60"/>
      <c r="G6" s="60"/>
      <c r="H6" s="60"/>
      <c r="I6" s="60"/>
      <c r="J6" s="60"/>
      <c r="K6" s="60"/>
      <c r="L6" s="60"/>
      <c r="M6" s="60"/>
      <c r="N6" s="60"/>
      <c r="O6" s="60"/>
      <c r="P6" s="60"/>
      <c r="Q6" s="60"/>
      <c r="R6" s="60"/>
      <c r="S6" s="60"/>
      <c r="T6" s="60"/>
      <c r="U6" s="63"/>
    </row>
    <row r="7" spans="2:21" x14ac:dyDescent="0.35">
      <c r="B7" s="59"/>
      <c r="C7" s="60"/>
      <c r="D7" s="60"/>
      <c r="E7" s="60"/>
      <c r="F7" s="60"/>
      <c r="G7" s="60"/>
      <c r="H7" s="60"/>
      <c r="I7" s="60"/>
      <c r="J7" s="60"/>
      <c r="K7" s="60"/>
      <c r="L7" s="60"/>
      <c r="M7" s="60"/>
      <c r="N7" s="60"/>
      <c r="O7" s="60"/>
      <c r="P7" s="60"/>
      <c r="Q7" s="60"/>
      <c r="R7" s="60"/>
      <c r="S7" s="60"/>
      <c r="T7" s="60"/>
      <c r="U7" s="63"/>
    </row>
    <row r="8" spans="2:21" x14ac:dyDescent="0.35">
      <c r="B8" s="59"/>
      <c r="C8" s="60"/>
      <c r="D8" s="60"/>
      <c r="E8" s="60"/>
      <c r="F8" s="60"/>
      <c r="G8" s="60"/>
      <c r="H8" s="60"/>
      <c r="I8" s="60"/>
      <c r="J8" s="60"/>
      <c r="K8" s="60"/>
      <c r="L8" s="60"/>
      <c r="M8" s="60"/>
      <c r="N8" s="60"/>
      <c r="O8" s="60"/>
      <c r="P8" s="60"/>
      <c r="Q8" s="60"/>
      <c r="R8" s="60"/>
      <c r="S8" s="60"/>
      <c r="T8" s="60"/>
      <c r="U8" s="63"/>
    </row>
    <row r="9" spans="2:21" x14ac:dyDescent="0.35">
      <c r="B9" s="59"/>
      <c r="C9" s="60"/>
      <c r="D9" s="60"/>
      <c r="E9" s="60"/>
      <c r="F9" s="60"/>
      <c r="G9" s="60"/>
      <c r="H9" s="60"/>
      <c r="I9" s="60"/>
      <c r="J9" s="60"/>
      <c r="K9" s="60"/>
      <c r="L9" s="60"/>
      <c r="M9" s="60"/>
      <c r="N9" s="60"/>
      <c r="O9" s="60"/>
      <c r="P9" s="60"/>
      <c r="Q9" s="60"/>
      <c r="R9" s="60"/>
      <c r="S9" s="60"/>
      <c r="T9" s="60"/>
      <c r="U9" s="63"/>
    </row>
    <row r="10" spans="2:21" x14ac:dyDescent="0.35">
      <c r="B10" s="59"/>
      <c r="C10" s="60"/>
      <c r="D10" s="60"/>
      <c r="E10" s="60"/>
      <c r="F10" s="60"/>
      <c r="G10" s="60"/>
      <c r="H10" s="60"/>
      <c r="I10" s="60"/>
      <c r="J10" s="60"/>
      <c r="K10" s="60"/>
      <c r="L10" s="60"/>
      <c r="M10" s="60"/>
      <c r="N10" s="60"/>
      <c r="O10" s="60"/>
      <c r="P10" s="60"/>
      <c r="Q10" s="60"/>
      <c r="R10" s="60"/>
      <c r="S10" s="60"/>
      <c r="T10" s="60"/>
      <c r="U10" s="63"/>
    </row>
    <row r="11" spans="2:21" x14ac:dyDescent="0.35">
      <c r="B11" s="59"/>
      <c r="C11" s="60"/>
      <c r="D11" s="60"/>
      <c r="E11" s="60"/>
      <c r="F11" s="60"/>
      <c r="G11" s="60"/>
      <c r="H11" s="60"/>
      <c r="I11" s="60"/>
      <c r="J11" s="60"/>
      <c r="K11" s="60"/>
      <c r="L11" s="60"/>
      <c r="M11" s="60"/>
      <c r="N11" s="60"/>
      <c r="O11" s="60"/>
      <c r="P11" s="60"/>
      <c r="Q11" s="60"/>
      <c r="R11" s="60"/>
      <c r="S11" s="60"/>
      <c r="T11" s="60"/>
      <c r="U11" s="63"/>
    </row>
    <row r="12" spans="2:21" x14ac:dyDescent="0.35">
      <c r="B12" s="59"/>
      <c r="C12" s="60"/>
      <c r="D12" s="60"/>
      <c r="E12" s="60"/>
      <c r="F12" s="60"/>
      <c r="G12" s="60"/>
      <c r="H12" s="60"/>
      <c r="I12" s="60"/>
      <c r="J12" s="60"/>
      <c r="K12" s="60"/>
      <c r="L12" s="60"/>
      <c r="M12" s="60"/>
      <c r="N12" s="60"/>
      <c r="O12" s="60"/>
      <c r="P12" s="60"/>
      <c r="Q12" s="60"/>
      <c r="R12" s="60"/>
      <c r="S12" s="60"/>
      <c r="T12" s="60"/>
      <c r="U12" s="63"/>
    </row>
    <row r="13" spans="2:21" x14ac:dyDescent="0.35">
      <c r="B13" s="59"/>
      <c r="C13" s="60"/>
      <c r="D13" s="60"/>
      <c r="E13" s="60"/>
      <c r="F13" s="60"/>
      <c r="G13" s="60"/>
      <c r="H13" s="60"/>
      <c r="I13" s="60"/>
      <c r="J13" s="60"/>
      <c r="K13" s="60"/>
      <c r="L13" s="60"/>
      <c r="M13" s="60"/>
      <c r="N13" s="60"/>
      <c r="O13" s="60"/>
      <c r="P13" s="60"/>
      <c r="Q13" s="60"/>
      <c r="R13" s="60"/>
      <c r="S13" s="60"/>
      <c r="T13" s="60"/>
      <c r="U13" s="63"/>
    </row>
    <row r="14" spans="2:21" x14ac:dyDescent="0.35">
      <c r="B14" s="59"/>
      <c r="C14" s="60"/>
      <c r="D14" s="60"/>
      <c r="E14" s="60"/>
      <c r="F14" s="60"/>
      <c r="G14" s="60"/>
      <c r="H14" s="60"/>
      <c r="I14" s="60"/>
      <c r="J14" s="60"/>
      <c r="K14" s="60"/>
      <c r="L14" s="60"/>
      <c r="M14" s="60"/>
      <c r="N14" s="60"/>
      <c r="O14" s="60"/>
      <c r="P14" s="60"/>
      <c r="Q14" s="60"/>
      <c r="R14" s="60"/>
      <c r="S14" s="60"/>
      <c r="T14" s="60"/>
      <c r="U14" s="63"/>
    </row>
    <row r="15" spans="2:21" x14ac:dyDescent="0.35">
      <c r="B15" s="59"/>
      <c r="C15" s="60"/>
      <c r="D15" s="60"/>
      <c r="E15" s="60"/>
      <c r="F15" s="60"/>
      <c r="G15" s="60"/>
      <c r="H15" s="60"/>
      <c r="I15" s="60"/>
      <c r="J15" s="60"/>
      <c r="K15" s="60"/>
      <c r="L15" s="60"/>
      <c r="M15" s="60"/>
      <c r="N15" s="60"/>
      <c r="O15" s="60"/>
      <c r="P15" s="60"/>
      <c r="Q15" s="60"/>
      <c r="R15" s="60"/>
      <c r="S15" s="60"/>
      <c r="T15" s="60"/>
      <c r="U15" s="63"/>
    </row>
    <row r="16" spans="2:21" x14ac:dyDescent="0.35">
      <c r="B16" s="59"/>
      <c r="C16" s="60"/>
      <c r="D16" s="60"/>
      <c r="E16" s="60"/>
      <c r="F16" s="60"/>
      <c r="G16" s="60"/>
      <c r="H16" s="60"/>
      <c r="I16" s="60"/>
      <c r="J16" s="60"/>
      <c r="K16" s="60"/>
      <c r="L16" s="60"/>
      <c r="M16" s="60"/>
      <c r="N16" s="60"/>
      <c r="O16" s="60"/>
      <c r="P16" s="60"/>
      <c r="Q16" s="60"/>
      <c r="R16" s="60"/>
      <c r="S16" s="60"/>
      <c r="T16" s="60"/>
      <c r="U16" s="63"/>
    </row>
    <row r="17" spans="2:21" x14ac:dyDescent="0.35">
      <c r="B17" s="59"/>
      <c r="C17" s="60"/>
      <c r="D17" s="60"/>
      <c r="E17" s="60"/>
      <c r="F17" s="60"/>
      <c r="G17" s="60"/>
      <c r="H17" s="60"/>
      <c r="I17" s="60"/>
      <c r="J17" s="60"/>
      <c r="K17" s="60"/>
      <c r="L17" s="60"/>
      <c r="M17" s="60"/>
      <c r="N17" s="60"/>
      <c r="O17" s="60"/>
      <c r="P17" s="60"/>
      <c r="Q17" s="60"/>
      <c r="R17" s="60"/>
      <c r="S17" s="60"/>
      <c r="T17" s="60"/>
      <c r="U17" s="63"/>
    </row>
    <row r="18" spans="2:21" x14ac:dyDescent="0.35">
      <c r="B18" s="59"/>
      <c r="C18" s="60"/>
      <c r="D18" s="60"/>
      <c r="E18" s="60"/>
      <c r="F18" s="60"/>
      <c r="G18" s="60"/>
      <c r="H18" s="60"/>
      <c r="I18" s="60"/>
      <c r="J18" s="60"/>
      <c r="K18" s="60"/>
      <c r="L18" s="60"/>
      <c r="M18" s="60"/>
      <c r="N18" s="60"/>
      <c r="O18" s="60"/>
      <c r="P18" s="60"/>
      <c r="Q18" s="60"/>
      <c r="R18" s="60"/>
      <c r="S18" s="60"/>
      <c r="T18" s="60"/>
      <c r="U18" s="63"/>
    </row>
    <row r="19" spans="2:21" x14ac:dyDescent="0.35">
      <c r="B19" s="59"/>
      <c r="C19" s="60"/>
      <c r="D19" s="60"/>
      <c r="E19" s="60"/>
      <c r="F19" s="60"/>
      <c r="G19" s="60"/>
      <c r="H19" s="60"/>
      <c r="I19" s="60"/>
      <c r="J19" s="60"/>
      <c r="K19" s="60"/>
      <c r="L19" s="60"/>
      <c r="M19" s="60"/>
      <c r="N19" s="60"/>
      <c r="O19" s="60"/>
      <c r="P19" s="60"/>
      <c r="Q19" s="60"/>
      <c r="R19" s="60"/>
      <c r="S19" s="60"/>
      <c r="T19" s="60"/>
      <c r="U19" s="63"/>
    </row>
    <row r="20" spans="2:21" x14ac:dyDescent="0.35">
      <c r="B20" s="59"/>
      <c r="C20" s="60"/>
      <c r="D20" s="60"/>
      <c r="E20" s="60"/>
      <c r="F20" s="60"/>
      <c r="G20" s="60"/>
      <c r="H20" s="60"/>
      <c r="I20" s="60"/>
      <c r="J20" s="60"/>
      <c r="K20" s="60"/>
      <c r="L20" s="60"/>
      <c r="M20" s="60"/>
      <c r="N20" s="60"/>
      <c r="O20" s="60"/>
      <c r="P20" s="60"/>
      <c r="Q20" s="60"/>
      <c r="R20" s="60"/>
      <c r="S20" s="60"/>
      <c r="T20" s="60"/>
      <c r="U20" s="63"/>
    </row>
    <row r="21" spans="2:21" x14ac:dyDescent="0.35">
      <c r="B21" s="59"/>
      <c r="C21" s="60"/>
      <c r="D21" s="60"/>
      <c r="E21" s="60"/>
      <c r="F21" s="60"/>
      <c r="G21" s="60"/>
      <c r="H21" s="60"/>
      <c r="I21" s="60"/>
      <c r="J21" s="60"/>
      <c r="K21" s="60"/>
      <c r="L21" s="60"/>
      <c r="M21" s="60"/>
      <c r="N21" s="60"/>
      <c r="O21" s="60"/>
      <c r="P21" s="60"/>
      <c r="Q21" s="60"/>
      <c r="R21" s="60"/>
      <c r="S21" s="60"/>
      <c r="T21" s="60"/>
      <c r="U21" s="63"/>
    </row>
    <row r="22" spans="2:21" x14ac:dyDescent="0.35">
      <c r="B22" s="59"/>
      <c r="C22" s="60"/>
      <c r="D22" s="60"/>
      <c r="E22" s="60"/>
      <c r="F22" s="60"/>
      <c r="G22" s="60"/>
      <c r="H22" s="60"/>
      <c r="I22" s="60"/>
      <c r="J22" s="60"/>
      <c r="K22" s="60"/>
      <c r="L22" s="60"/>
      <c r="M22" s="60"/>
      <c r="N22" s="60"/>
      <c r="O22" s="60"/>
      <c r="P22" s="60"/>
      <c r="Q22" s="60"/>
      <c r="R22" s="60"/>
      <c r="S22" s="60"/>
      <c r="T22" s="60"/>
      <c r="U22" s="63"/>
    </row>
    <row r="23" spans="2:21" x14ac:dyDescent="0.35">
      <c r="B23" s="59"/>
      <c r="C23" s="60"/>
      <c r="D23" s="60"/>
      <c r="E23" s="60"/>
      <c r="F23" s="60"/>
      <c r="G23" s="60"/>
      <c r="H23" s="60"/>
      <c r="I23" s="60"/>
      <c r="J23" s="60"/>
      <c r="K23" s="60"/>
      <c r="L23" s="60"/>
      <c r="M23" s="60"/>
      <c r="N23" s="60"/>
      <c r="O23" s="60"/>
      <c r="P23" s="60"/>
      <c r="Q23" s="60"/>
      <c r="R23" s="60"/>
      <c r="S23" s="60"/>
      <c r="T23" s="60"/>
      <c r="U23" s="63"/>
    </row>
    <row r="24" spans="2:21" x14ac:dyDescent="0.35">
      <c r="B24" s="59"/>
      <c r="C24" s="60"/>
      <c r="D24" s="60"/>
      <c r="E24" s="60"/>
      <c r="F24" s="60"/>
      <c r="G24" s="60"/>
      <c r="H24" s="60"/>
      <c r="I24" s="60"/>
      <c r="J24" s="60"/>
      <c r="K24" s="60"/>
      <c r="L24" s="60"/>
      <c r="M24" s="60"/>
      <c r="N24" s="60"/>
      <c r="O24" s="60"/>
      <c r="P24" s="60"/>
      <c r="Q24" s="60"/>
      <c r="R24" s="60"/>
      <c r="S24" s="60"/>
      <c r="T24" s="60"/>
      <c r="U24" s="63"/>
    </row>
    <row r="25" spans="2:21" x14ac:dyDescent="0.35">
      <c r="B25" s="59"/>
      <c r="C25" s="60"/>
      <c r="D25" s="60"/>
      <c r="E25" s="60"/>
      <c r="F25" s="60"/>
      <c r="G25" s="60"/>
      <c r="H25" s="60"/>
      <c r="I25" s="60"/>
      <c r="J25" s="60"/>
      <c r="K25" s="60"/>
      <c r="L25" s="60"/>
      <c r="M25" s="60"/>
      <c r="N25" s="60"/>
      <c r="O25" s="60"/>
      <c r="P25" s="60"/>
      <c r="Q25" s="60"/>
      <c r="R25" s="60"/>
      <c r="S25" s="60"/>
      <c r="T25" s="60"/>
      <c r="U25" s="63"/>
    </row>
    <row r="26" spans="2:21" x14ac:dyDescent="0.35">
      <c r="B26" s="59"/>
      <c r="C26" s="60"/>
      <c r="D26" s="60"/>
      <c r="E26" s="60"/>
      <c r="F26" s="60"/>
      <c r="G26" s="60"/>
      <c r="H26" s="60"/>
      <c r="I26" s="60"/>
      <c r="J26" s="60"/>
      <c r="K26" s="60"/>
      <c r="L26" s="60"/>
      <c r="M26" s="60"/>
      <c r="N26" s="60"/>
      <c r="O26" s="60"/>
      <c r="P26" s="60"/>
      <c r="Q26" s="60"/>
      <c r="R26" s="60"/>
      <c r="S26" s="60"/>
      <c r="T26" s="60"/>
      <c r="U26" s="63"/>
    </row>
    <row r="27" spans="2:21" x14ac:dyDescent="0.35">
      <c r="B27" s="59"/>
      <c r="C27" s="60"/>
      <c r="D27" s="60"/>
      <c r="E27" s="60"/>
      <c r="F27" s="60"/>
      <c r="G27" s="60"/>
      <c r="H27" s="60"/>
      <c r="I27" s="60"/>
      <c r="J27" s="60"/>
      <c r="K27" s="60"/>
      <c r="L27" s="60"/>
      <c r="M27" s="60"/>
      <c r="N27" s="60"/>
      <c r="O27" s="60"/>
      <c r="P27" s="60"/>
      <c r="Q27" s="60"/>
      <c r="R27" s="60"/>
      <c r="S27" s="60"/>
      <c r="T27" s="60"/>
      <c r="U27" s="63"/>
    </row>
    <row r="28" spans="2:21" x14ac:dyDescent="0.35">
      <c r="B28" s="59"/>
      <c r="C28" s="60"/>
      <c r="D28" s="60"/>
      <c r="E28" s="60"/>
      <c r="F28" s="60"/>
      <c r="G28" s="60"/>
      <c r="H28" s="60"/>
      <c r="I28" s="60"/>
      <c r="J28" s="60"/>
      <c r="K28" s="60"/>
      <c r="L28" s="60"/>
      <c r="M28" s="60"/>
      <c r="N28" s="60"/>
      <c r="O28" s="60"/>
      <c r="P28" s="60"/>
      <c r="Q28" s="60"/>
      <c r="R28" s="60"/>
      <c r="S28" s="60"/>
      <c r="T28" s="60"/>
      <c r="U28" s="63"/>
    </row>
    <row r="29" spans="2:21" x14ac:dyDescent="0.35">
      <c r="B29" s="59"/>
      <c r="C29" s="60"/>
      <c r="D29" s="60"/>
      <c r="E29" s="60"/>
      <c r="F29" s="60"/>
      <c r="G29" s="60"/>
      <c r="H29" s="60"/>
      <c r="I29" s="60"/>
      <c r="J29" s="60"/>
      <c r="K29" s="60"/>
      <c r="L29" s="55"/>
      <c r="M29" s="60"/>
      <c r="N29" s="60"/>
      <c r="O29" s="60"/>
      <c r="P29" s="60"/>
      <c r="Q29" s="60"/>
      <c r="R29" s="60"/>
      <c r="S29" s="60"/>
      <c r="T29" s="60"/>
      <c r="U29" s="63"/>
    </row>
    <row r="30" spans="2:21" x14ac:dyDescent="0.35">
      <c r="B30" s="59"/>
      <c r="C30" s="60"/>
      <c r="D30" s="60"/>
      <c r="E30" s="60"/>
      <c r="F30" s="60"/>
      <c r="G30" s="60"/>
      <c r="H30" s="60"/>
      <c r="I30" s="60"/>
      <c r="J30" s="60"/>
      <c r="K30" s="60"/>
      <c r="L30" s="60"/>
      <c r="M30" s="60"/>
      <c r="N30" s="60"/>
      <c r="O30" s="60"/>
      <c r="P30" s="60"/>
      <c r="Q30" s="60"/>
      <c r="R30" s="60"/>
      <c r="S30" s="60"/>
      <c r="T30" s="60"/>
      <c r="U30" s="63"/>
    </row>
    <row r="31" spans="2:21" x14ac:dyDescent="0.35">
      <c r="B31" s="59"/>
      <c r="C31" s="60"/>
      <c r="D31" s="60"/>
      <c r="E31" s="60"/>
      <c r="F31" s="60"/>
      <c r="G31" s="60"/>
      <c r="H31" s="60"/>
      <c r="I31" s="60"/>
      <c r="J31" s="60"/>
      <c r="K31" s="60"/>
      <c r="L31" s="60"/>
      <c r="M31" s="60"/>
      <c r="N31" s="60"/>
      <c r="O31" s="60"/>
      <c r="P31" s="60"/>
      <c r="Q31" s="60"/>
      <c r="R31" s="60"/>
      <c r="S31" s="60"/>
      <c r="T31" s="60"/>
      <c r="U31" s="63"/>
    </row>
    <row r="32" spans="2:21" x14ac:dyDescent="0.35">
      <c r="B32" s="59"/>
      <c r="C32" s="60"/>
      <c r="D32" s="60"/>
      <c r="E32" s="60"/>
      <c r="F32" s="60"/>
      <c r="G32" s="60"/>
      <c r="H32" s="60"/>
      <c r="I32" s="60"/>
      <c r="J32" s="60"/>
      <c r="K32" s="60"/>
      <c r="L32" s="60"/>
      <c r="M32" s="60"/>
      <c r="N32" s="60"/>
      <c r="O32" s="60"/>
      <c r="P32" s="60"/>
      <c r="Q32" s="60"/>
      <c r="R32" s="60"/>
      <c r="S32" s="60"/>
      <c r="T32" s="60"/>
      <c r="U32" s="63"/>
    </row>
    <row r="33" spans="2:21" x14ac:dyDescent="0.35">
      <c r="B33" s="59"/>
      <c r="C33" s="60"/>
      <c r="D33" s="60"/>
      <c r="E33" s="60"/>
      <c r="F33" s="60"/>
      <c r="G33" s="60"/>
      <c r="H33" s="60"/>
      <c r="I33" s="60"/>
      <c r="J33" s="60"/>
      <c r="K33" s="60"/>
      <c r="L33" s="60"/>
      <c r="M33" s="60"/>
      <c r="N33" s="60"/>
      <c r="O33" s="60"/>
      <c r="P33" s="60"/>
      <c r="Q33" s="60"/>
      <c r="R33" s="60"/>
      <c r="S33" s="60"/>
      <c r="T33" s="60"/>
      <c r="U33" s="63"/>
    </row>
    <row r="34" spans="2:21" x14ac:dyDescent="0.35">
      <c r="B34" s="59"/>
      <c r="C34" s="60"/>
      <c r="D34" s="60"/>
      <c r="E34" s="60"/>
      <c r="F34" s="60"/>
      <c r="G34" s="60"/>
      <c r="H34" s="60"/>
      <c r="I34" s="60"/>
      <c r="J34" s="60"/>
      <c r="K34" s="60"/>
      <c r="L34" s="60"/>
      <c r="M34" s="60"/>
      <c r="N34" s="60"/>
      <c r="O34" s="60"/>
      <c r="P34" s="60"/>
      <c r="Q34" s="60"/>
      <c r="R34" s="60"/>
      <c r="S34" s="60"/>
      <c r="T34" s="60"/>
      <c r="U34" s="63"/>
    </row>
    <row r="35" spans="2:21" x14ac:dyDescent="0.35">
      <c r="B35" s="59"/>
      <c r="C35" s="60"/>
      <c r="D35" s="60"/>
      <c r="E35" s="60"/>
      <c r="F35" s="60"/>
      <c r="G35" s="60"/>
      <c r="H35" s="60"/>
      <c r="I35" s="60"/>
      <c r="J35" s="60"/>
      <c r="K35" s="60"/>
      <c r="L35" s="60"/>
      <c r="M35" s="60"/>
      <c r="N35" s="60"/>
      <c r="O35" s="60"/>
      <c r="P35" s="60"/>
      <c r="Q35" s="60"/>
      <c r="R35" s="60"/>
      <c r="S35" s="60"/>
      <c r="T35" s="60"/>
      <c r="U35" s="63"/>
    </row>
    <row r="36" spans="2:21" x14ac:dyDescent="0.35">
      <c r="B36" s="59"/>
      <c r="C36" s="60"/>
      <c r="D36" s="60"/>
      <c r="E36" s="60"/>
      <c r="F36" s="60"/>
      <c r="G36" s="60"/>
      <c r="H36" s="60"/>
      <c r="I36" s="60"/>
      <c r="J36" s="60"/>
      <c r="K36" s="60"/>
      <c r="L36" s="60"/>
      <c r="M36" s="60"/>
      <c r="N36" s="60"/>
      <c r="O36" s="60"/>
      <c r="P36" s="60"/>
      <c r="Q36" s="60"/>
      <c r="R36" s="60"/>
      <c r="S36" s="60"/>
      <c r="T36" s="60"/>
      <c r="U36" s="63"/>
    </row>
    <row r="37" spans="2:21" x14ac:dyDescent="0.35">
      <c r="B37" s="59"/>
      <c r="C37" s="60"/>
      <c r="D37" s="60"/>
      <c r="E37" s="60"/>
      <c r="F37" s="60"/>
      <c r="G37" s="60"/>
      <c r="H37" s="60"/>
      <c r="I37" s="60"/>
      <c r="J37" s="60"/>
      <c r="K37" s="60"/>
      <c r="L37" s="60"/>
      <c r="M37" s="60"/>
      <c r="N37" s="60"/>
      <c r="O37" s="60"/>
      <c r="P37" s="60"/>
      <c r="Q37" s="60"/>
      <c r="R37" s="60"/>
      <c r="S37" s="60"/>
      <c r="T37" s="60"/>
      <c r="U37" s="63"/>
    </row>
    <row r="38" spans="2:21" x14ac:dyDescent="0.35">
      <c r="B38" s="59"/>
      <c r="C38" s="60"/>
      <c r="D38" s="60"/>
      <c r="E38" s="60"/>
      <c r="F38" s="60"/>
      <c r="G38" s="60"/>
      <c r="H38" s="60"/>
      <c r="I38" s="60"/>
      <c r="J38" s="60"/>
      <c r="K38" s="60"/>
      <c r="L38" s="60"/>
      <c r="M38" s="60"/>
      <c r="N38" s="60"/>
      <c r="O38" s="60"/>
      <c r="P38" s="60"/>
      <c r="Q38" s="60"/>
      <c r="R38" s="60"/>
      <c r="S38" s="60"/>
      <c r="T38" s="60"/>
      <c r="U38" s="63"/>
    </row>
    <row r="39" spans="2:21" x14ac:dyDescent="0.35">
      <c r="B39" s="59"/>
      <c r="C39" s="60"/>
      <c r="D39" s="60"/>
      <c r="E39" s="60"/>
      <c r="F39" s="60"/>
      <c r="G39" s="60"/>
      <c r="H39" s="60"/>
      <c r="I39" s="60"/>
      <c r="J39" s="60"/>
      <c r="K39" s="60"/>
      <c r="L39" s="60"/>
      <c r="M39" s="60"/>
      <c r="N39" s="60"/>
      <c r="O39" s="60"/>
      <c r="P39" s="60"/>
      <c r="Q39" s="60"/>
      <c r="R39" s="60"/>
      <c r="S39" s="60"/>
      <c r="T39" s="60"/>
      <c r="U39" s="63"/>
    </row>
    <row r="40" spans="2:21" x14ac:dyDescent="0.35">
      <c r="B40" s="59"/>
      <c r="C40" s="60"/>
      <c r="D40" s="60"/>
      <c r="E40" s="60"/>
      <c r="F40" s="60"/>
      <c r="G40" s="60"/>
      <c r="H40" s="60"/>
      <c r="I40" s="60"/>
      <c r="J40" s="60"/>
      <c r="K40" s="60"/>
      <c r="L40" s="60"/>
      <c r="M40" s="60"/>
      <c r="N40" s="60"/>
      <c r="O40" s="60"/>
      <c r="P40" s="60"/>
      <c r="Q40" s="60"/>
      <c r="R40" s="60"/>
      <c r="S40" s="60"/>
      <c r="T40" s="60"/>
      <c r="U40" s="63"/>
    </row>
    <row r="41" spans="2:21" x14ac:dyDescent="0.35">
      <c r="B41" s="59"/>
      <c r="C41" s="60"/>
      <c r="D41" s="60"/>
      <c r="E41" s="60"/>
      <c r="F41" s="60"/>
      <c r="G41" s="60"/>
      <c r="H41" s="60"/>
      <c r="I41" s="60"/>
      <c r="J41" s="60"/>
      <c r="K41" s="60"/>
      <c r="L41" s="60"/>
      <c r="M41" s="60"/>
      <c r="N41" s="60"/>
      <c r="O41" s="60"/>
      <c r="P41" s="60"/>
      <c r="Q41" s="60"/>
      <c r="R41" s="60"/>
      <c r="S41" s="60"/>
      <c r="T41" s="60"/>
      <c r="U41" s="63"/>
    </row>
    <row r="42" spans="2:21" x14ac:dyDescent="0.35">
      <c r="B42" s="59"/>
      <c r="C42" s="60"/>
      <c r="D42" s="60"/>
      <c r="E42" s="60"/>
      <c r="F42" s="60"/>
      <c r="G42" s="60"/>
      <c r="H42" s="60"/>
      <c r="I42" s="60"/>
      <c r="J42" s="60"/>
      <c r="K42" s="60"/>
      <c r="L42" s="60"/>
      <c r="M42" s="60"/>
      <c r="N42" s="60"/>
      <c r="O42" s="60"/>
      <c r="P42" s="60"/>
      <c r="Q42" s="60"/>
      <c r="R42" s="60"/>
      <c r="S42" s="60"/>
      <c r="T42" s="60"/>
      <c r="U42" s="63"/>
    </row>
    <row r="43" spans="2:21" x14ac:dyDescent="0.35">
      <c r="B43" s="59"/>
      <c r="C43" s="60"/>
      <c r="D43" s="60"/>
      <c r="E43" s="60"/>
      <c r="F43" s="60"/>
      <c r="G43" s="60"/>
      <c r="H43" s="60"/>
      <c r="I43" s="60"/>
      <c r="J43" s="60"/>
      <c r="K43" s="60"/>
      <c r="L43" s="60"/>
      <c r="M43" s="60"/>
      <c r="N43" s="60"/>
      <c r="O43" s="60"/>
      <c r="P43" s="60"/>
      <c r="Q43" s="60"/>
      <c r="R43" s="60"/>
      <c r="S43" s="60"/>
      <c r="T43" s="60"/>
      <c r="U43" s="63"/>
    </row>
    <row r="44" spans="2:21" x14ac:dyDescent="0.35">
      <c r="B44" s="59"/>
      <c r="C44" s="60"/>
      <c r="D44" s="60"/>
      <c r="E44" s="60"/>
      <c r="F44" s="60"/>
      <c r="G44" s="60"/>
      <c r="H44" s="60"/>
      <c r="I44" s="60"/>
      <c r="J44" s="60"/>
      <c r="K44" s="60"/>
      <c r="L44" s="60"/>
      <c r="M44" s="60"/>
      <c r="N44" s="60"/>
      <c r="O44" s="60"/>
      <c r="P44" s="60"/>
      <c r="Q44" s="60"/>
      <c r="R44" s="60"/>
      <c r="S44" s="60"/>
      <c r="T44" s="60"/>
      <c r="U44" s="63"/>
    </row>
    <row r="45" spans="2:21" ht="15" thickBot="1" x14ac:dyDescent="0.4">
      <c r="B45" s="66"/>
      <c r="C45" s="67"/>
      <c r="D45" s="67"/>
      <c r="E45" s="67"/>
      <c r="F45" s="67"/>
      <c r="G45" s="67"/>
      <c r="H45" s="67"/>
      <c r="I45" s="67"/>
      <c r="J45" s="67"/>
      <c r="K45" s="67"/>
      <c r="L45" s="67"/>
      <c r="M45" s="67"/>
      <c r="N45" s="67"/>
      <c r="O45" s="67"/>
      <c r="P45" s="67"/>
      <c r="Q45" s="67"/>
      <c r="R45" s="67"/>
      <c r="S45" s="67"/>
      <c r="T45" s="67"/>
      <c r="U45" s="68"/>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90" r:id="rId4" name="Drop Down 2">
              <controlPr defaultSize="0" autoLine="0" autoPict="0">
                <anchor moveWithCells="1">
                  <from>
                    <xdr:col>19</xdr:col>
                    <xdr:colOff>31750</xdr:colOff>
                    <xdr:row>2</xdr:row>
                    <xdr:rowOff>44450</xdr:rowOff>
                  </from>
                  <to>
                    <xdr:col>20</xdr:col>
                    <xdr:colOff>209550</xdr:colOff>
                    <xdr:row>2</xdr:row>
                    <xdr:rowOff>165100</xdr:rowOff>
                  </to>
                </anchor>
              </controlPr>
            </control>
          </mc:Choice>
        </mc:AlternateContent>
        <mc:AlternateContent xmlns:mc="http://schemas.openxmlformats.org/markup-compatibility/2006">
          <mc:Choice Requires="x14">
            <control shapeId="12291" r:id="rId5" name="Drop Down 3">
              <controlPr defaultSize="0" autoLine="0" autoPict="0">
                <anchor moveWithCells="1">
                  <from>
                    <xdr:col>19</xdr:col>
                    <xdr:colOff>44450</xdr:colOff>
                    <xdr:row>3</xdr:row>
                    <xdr:rowOff>50800</xdr:rowOff>
                  </from>
                  <to>
                    <xdr:col>20</xdr:col>
                    <xdr:colOff>215900</xdr:colOff>
                    <xdr:row>3</xdr:row>
                    <xdr:rowOff>165100</xdr:rowOff>
                  </to>
                </anchor>
              </controlPr>
            </control>
          </mc:Choice>
        </mc:AlternateContent>
        <mc:AlternateContent xmlns:mc="http://schemas.openxmlformats.org/markup-compatibility/2006">
          <mc:Choice Requires="x14">
            <control shapeId="12292" r:id="rId6" name="Drop Down 4">
              <controlPr defaultSize="0" autoLine="0" autoPict="0">
                <anchor moveWithCells="1">
                  <from>
                    <xdr:col>19</xdr:col>
                    <xdr:colOff>44450</xdr:colOff>
                    <xdr:row>4</xdr:row>
                    <xdr:rowOff>63500</xdr:rowOff>
                  </from>
                  <to>
                    <xdr:col>20</xdr:col>
                    <xdr:colOff>209550</xdr:colOff>
                    <xdr:row>4</xdr:row>
                    <xdr:rowOff>177800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Revenue Assumptions</vt:lpstr>
      <vt:lpstr>Cost Assumptions</vt:lpstr>
      <vt:lpstr>Workings</vt:lpstr>
      <vt:lpstr>Cost</vt:lpstr>
      <vt:lpstr>Revenue</vt:lpstr>
      <vt:lpstr>Breakeven_ROI</vt:lpstr>
      <vt:lpstr>Summary</vt:lpstr>
      <vt:lpstr>Dataset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Adeniran</dc:creator>
  <cp:lastModifiedBy>Success Noruwa</cp:lastModifiedBy>
  <dcterms:created xsi:type="dcterms:W3CDTF">2025-05-15T17:27:12Z</dcterms:created>
  <dcterms:modified xsi:type="dcterms:W3CDTF">2025-05-24T12:43:39Z</dcterms:modified>
</cp:coreProperties>
</file>